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ietroderiu/Downloads/"/>
    </mc:Choice>
  </mc:AlternateContent>
  <xr:revisionPtr revIDLastSave="0" documentId="13_ncr:1_{8D8BB9C9-DC62-E04A-BFEA-B546DFC07DB4}" xr6:coauthVersionLast="47" xr6:coauthVersionMax="47" xr10:uidLastSave="{00000000-0000-0000-0000-000000000000}"/>
  <bookViews>
    <workbookView xWindow="0" yWindow="660" windowWidth="29400" windowHeight="17560" activeTab="6" xr2:uid="{00000000-000D-0000-FFFF-FFFF00000000}"/>
  </bookViews>
  <sheets>
    <sheet name="Dashboard" sheetId="1" r:id="rId1"/>
    <sheet name="Checklist_GDPR" sheetId="2" r:id="rId2"/>
    <sheet name="Azioni" sheetId="3" r:id="rId3"/>
    <sheet name="Registro_Evidenze" sheetId="4" r:id="rId4"/>
    <sheet name="Governance_RACI" sheetId="5" r:id="rId5"/>
    <sheet name="Parametri" sheetId="6" r:id="rId6"/>
    <sheet name="Istruzion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4" i="3" l="1"/>
  <c r="K124" i="3"/>
  <c r="A124" i="3"/>
  <c r="L123" i="3"/>
  <c r="K123" i="3"/>
  <c r="A123" i="3"/>
  <c r="L122" i="3"/>
  <c r="K122" i="3"/>
  <c r="A122" i="3"/>
  <c r="L121" i="3"/>
  <c r="K121" i="3"/>
  <c r="A121" i="3"/>
  <c r="L120" i="3"/>
  <c r="K120" i="3"/>
  <c r="A120" i="3"/>
  <c r="L119" i="3"/>
  <c r="K119" i="3"/>
  <c r="A119" i="3"/>
  <c r="L118" i="3"/>
  <c r="K118" i="3"/>
  <c r="A118" i="3"/>
  <c r="L117" i="3"/>
  <c r="K117" i="3"/>
  <c r="A117" i="3"/>
  <c r="L116" i="3"/>
  <c r="K116" i="3"/>
  <c r="A116" i="3"/>
  <c r="L115" i="3"/>
  <c r="K115" i="3"/>
  <c r="A115" i="3"/>
  <c r="L114" i="3"/>
  <c r="K114" i="3"/>
  <c r="A114" i="3"/>
  <c r="L113" i="3"/>
  <c r="K113" i="3"/>
  <c r="A113" i="3"/>
  <c r="L112" i="3"/>
  <c r="K112" i="3"/>
  <c r="A112" i="3"/>
  <c r="L111" i="3"/>
  <c r="K111" i="3"/>
  <c r="A111" i="3"/>
  <c r="L110" i="3"/>
  <c r="K110" i="3"/>
  <c r="A110" i="3"/>
  <c r="L109" i="3"/>
  <c r="K109" i="3"/>
  <c r="A109" i="3"/>
  <c r="L108" i="3"/>
  <c r="K108" i="3"/>
  <c r="A108" i="3"/>
  <c r="L107" i="3"/>
  <c r="K107" i="3"/>
  <c r="A107" i="3"/>
  <c r="L106" i="3"/>
  <c r="K106" i="3"/>
  <c r="A106" i="3"/>
  <c r="L105" i="3"/>
  <c r="K105" i="3"/>
  <c r="A105" i="3"/>
  <c r="L104" i="3"/>
  <c r="K104" i="3"/>
  <c r="A104" i="3"/>
  <c r="L103" i="3"/>
  <c r="K103" i="3"/>
  <c r="A103" i="3"/>
  <c r="L102" i="3"/>
  <c r="K102" i="3"/>
  <c r="A102" i="3"/>
  <c r="L101" i="3"/>
  <c r="K101" i="3"/>
  <c r="A101" i="3"/>
  <c r="L100" i="3"/>
  <c r="K100" i="3"/>
  <c r="A100" i="3"/>
  <c r="L99" i="3"/>
  <c r="K99" i="3"/>
  <c r="A99" i="3"/>
  <c r="L98" i="3"/>
  <c r="K98" i="3"/>
  <c r="A98" i="3"/>
  <c r="L97" i="3"/>
  <c r="K97" i="3"/>
  <c r="A97" i="3"/>
  <c r="L96" i="3"/>
  <c r="K96" i="3"/>
  <c r="A96" i="3"/>
  <c r="L95" i="3"/>
  <c r="K95" i="3"/>
  <c r="A95" i="3"/>
  <c r="L94" i="3"/>
  <c r="K94" i="3"/>
  <c r="A94" i="3"/>
  <c r="L93" i="3"/>
  <c r="K93" i="3"/>
  <c r="A93" i="3"/>
  <c r="L92" i="3"/>
  <c r="K92" i="3"/>
  <c r="A92" i="3"/>
  <c r="L91" i="3"/>
  <c r="K91" i="3"/>
  <c r="A91" i="3"/>
  <c r="L90" i="3"/>
  <c r="K90" i="3"/>
  <c r="A90" i="3"/>
  <c r="L89" i="3"/>
  <c r="K89" i="3"/>
  <c r="A89" i="3"/>
  <c r="L88" i="3"/>
  <c r="K88" i="3"/>
  <c r="A88" i="3"/>
  <c r="L87" i="3"/>
  <c r="K87" i="3"/>
  <c r="A87" i="3"/>
  <c r="L86" i="3"/>
  <c r="K86" i="3"/>
  <c r="A86" i="3"/>
  <c r="L85" i="3"/>
  <c r="K85" i="3"/>
  <c r="A85" i="3"/>
  <c r="L84" i="3"/>
  <c r="K84" i="3"/>
  <c r="A84" i="3"/>
  <c r="L83" i="3"/>
  <c r="K83" i="3"/>
  <c r="A83" i="3"/>
  <c r="L82" i="3"/>
  <c r="K82" i="3"/>
  <c r="A82" i="3"/>
  <c r="L81" i="3"/>
  <c r="K81" i="3"/>
  <c r="A81" i="3"/>
  <c r="L80" i="3"/>
  <c r="K80" i="3"/>
  <c r="A80" i="3"/>
  <c r="L79" i="3"/>
  <c r="K79" i="3"/>
  <c r="A79" i="3"/>
  <c r="L78" i="3"/>
  <c r="K78" i="3"/>
  <c r="A78" i="3"/>
  <c r="L77" i="3"/>
  <c r="K77" i="3"/>
  <c r="A77" i="3"/>
  <c r="L76" i="3"/>
  <c r="K76" i="3"/>
  <c r="A76" i="3"/>
  <c r="L75" i="3"/>
  <c r="K75" i="3"/>
  <c r="A75" i="3"/>
  <c r="L74" i="3"/>
  <c r="K74" i="3"/>
  <c r="A74" i="3"/>
  <c r="L73" i="3"/>
  <c r="K73" i="3"/>
  <c r="A73" i="3"/>
  <c r="L72" i="3"/>
  <c r="K72" i="3"/>
  <c r="A72" i="3"/>
  <c r="L71" i="3"/>
  <c r="K71" i="3"/>
  <c r="A71" i="3"/>
  <c r="L70" i="3"/>
  <c r="K70" i="3"/>
  <c r="A70" i="3"/>
  <c r="L69" i="3"/>
  <c r="K69" i="3"/>
  <c r="A69" i="3"/>
  <c r="L68" i="3"/>
  <c r="K68" i="3"/>
  <c r="A68" i="3"/>
  <c r="L67" i="3"/>
  <c r="K67" i="3"/>
  <c r="A67" i="3"/>
  <c r="L66" i="3"/>
  <c r="K66" i="3"/>
  <c r="A66" i="3"/>
  <c r="L65" i="3"/>
  <c r="K65" i="3"/>
  <c r="A65" i="3"/>
  <c r="L64" i="3"/>
  <c r="K64" i="3"/>
  <c r="A64" i="3"/>
  <c r="L63" i="3"/>
  <c r="K63" i="3"/>
  <c r="A63" i="3"/>
  <c r="L62" i="3"/>
  <c r="K62" i="3"/>
  <c r="A62" i="3"/>
  <c r="L61" i="3"/>
  <c r="K61" i="3"/>
  <c r="A61" i="3"/>
  <c r="L60" i="3"/>
  <c r="K60" i="3"/>
  <c r="A60" i="3"/>
  <c r="L59" i="3"/>
  <c r="K59" i="3"/>
  <c r="A59" i="3"/>
  <c r="L58" i="3"/>
  <c r="K58" i="3"/>
  <c r="A58" i="3"/>
  <c r="L57" i="3"/>
  <c r="K57" i="3"/>
  <c r="A57" i="3"/>
  <c r="L56" i="3"/>
  <c r="K56" i="3"/>
  <c r="A56" i="3"/>
  <c r="L55" i="3"/>
  <c r="K55" i="3"/>
  <c r="A55" i="3"/>
  <c r="L54" i="3"/>
  <c r="K54" i="3"/>
  <c r="A54" i="3"/>
  <c r="L53" i="3"/>
  <c r="K53" i="3"/>
  <c r="A53" i="3"/>
  <c r="L52" i="3"/>
  <c r="K52" i="3"/>
  <c r="A52" i="3"/>
  <c r="L51" i="3"/>
  <c r="K51" i="3"/>
  <c r="A51" i="3"/>
  <c r="L50" i="3"/>
  <c r="K50" i="3"/>
  <c r="A50" i="3"/>
  <c r="L49" i="3"/>
  <c r="K49" i="3"/>
  <c r="A49" i="3"/>
  <c r="L48" i="3"/>
  <c r="K48" i="3"/>
  <c r="A48" i="3"/>
  <c r="L47" i="3"/>
  <c r="K47" i="3"/>
  <c r="A47" i="3"/>
  <c r="L46" i="3"/>
  <c r="K46" i="3"/>
  <c r="A46" i="3"/>
  <c r="L45" i="3"/>
  <c r="K45" i="3"/>
  <c r="A45" i="3"/>
  <c r="L44" i="3"/>
  <c r="K44" i="3"/>
  <c r="A44" i="3"/>
  <c r="L43" i="3"/>
  <c r="K43" i="3"/>
  <c r="A43" i="3"/>
  <c r="L42" i="3"/>
  <c r="K42" i="3"/>
  <c r="A42" i="3"/>
  <c r="L41" i="3"/>
  <c r="K41" i="3"/>
  <c r="A41" i="3"/>
  <c r="L40" i="3"/>
  <c r="K40" i="3"/>
  <c r="A40" i="3"/>
  <c r="L39" i="3"/>
  <c r="K39" i="3"/>
  <c r="A39" i="3"/>
  <c r="L38" i="3"/>
  <c r="K38" i="3"/>
  <c r="A38" i="3"/>
  <c r="L37" i="3"/>
  <c r="K37" i="3"/>
  <c r="A37" i="3"/>
  <c r="L36" i="3"/>
  <c r="K36" i="3"/>
  <c r="A36" i="3"/>
  <c r="L35" i="3"/>
  <c r="K35" i="3"/>
  <c r="A35" i="3"/>
  <c r="L34" i="3"/>
  <c r="K34" i="3"/>
  <c r="A34" i="3"/>
  <c r="L33" i="3"/>
  <c r="K33" i="3"/>
  <c r="A33" i="3"/>
  <c r="L32" i="3"/>
  <c r="K32" i="3"/>
  <c r="A32" i="3"/>
  <c r="L31" i="3"/>
  <c r="K31" i="3"/>
  <c r="A31" i="3"/>
  <c r="L30" i="3"/>
  <c r="K30" i="3"/>
  <c r="A30" i="3"/>
  <c r="L29" i="3"/>
  <c r="K29" i="3"/>
  <c r="A29" i="3"/>
  <c r="L28" i="3"/>
  <c r="K28" i="3"/>
  <c r="A28" i="3"/>
  <c r="L27" i="3"/>
  <c r="K27" i="3"/>
  <c r="A27" i="3"/>
  <c r="L26" i="3"/>
  <c r="K26" i="3"/>
  <c r="A26" i="3"/>
  <c r="L25" i="3"/>
  <c r="K25" i="3"/>
  <c r="A25" i="3"/>
  <c r="L24" i="3"/>
  <c r="K24" i="3"/>
  <c r="A24" i="3"/>
  <c r="L23" i="3"/>
  <c r="K23" i="3"/>
  <c r="A23" i="3"/>
  <c r="L22" i="3"/>
  <c r="K22" i="3"/>
  <c r="A22" i="3"/>
  <c r="L21" i="3"/>
  <c r="K21" i="3"/>
  <c r="A21" i="3"/>
  <c r="L20" i="3"/>
  <c r="K20" i="3"/>
  <c r="A20" i="3"/>
  <c r="L19" i="3"/>
  <c r="K19" i="3"/>
  <c r="A19" i="3"/>
  <c r="L18" i="3"/>
  <c r="K18" i="3"/>
  <c r="A18" i="3"/>
  <c r="L17" i="3"/>
  <c r="K17" i="3"/>
  <c r="A17" i="3"/>
  <c r="L16" i="3"/>
  <c r="K16" i="3"/>
  <c r="A16" i="3"/>
  <c r="L15" i="3"/>
  <c r="K15" i="3"/>
  <c r="A15" i="3"/>
  <c r="L14" i="3"/>
  <c r="K14" i="3"/>
  <c r="A14" i="3"/>
  <c r="L13" i="3"/>
  <c r="K13" i="3"/>
  <c r="A13" i="3"/>
  <c r="L12" i="3"/>
  <c r="K12" i="3"/>
  <c r="A12" i="3"/>
  <c r="L11" i="3"/>
  <c r="K11" i="3"/>
  <c r="A11" i="3"/>
  <c r="L10" i="3"/>
  <c r="K10" i="3"/>
  <c r="A10" i="3"/>
  <c r="L9" i="3"/>
  <c r="K9" i="3"/>
  <c r="A9" i="3"/>
  <c r="L8" i="3"/>
  <c r="K8" i="3"/>
  <c r="A8" i="3"/>
  <c r="L7" i="3"/>
  <c r="K7" i="3"/>
  <c r="A7" i="3"/>
  <c r="L6" i="3"/>
  <c r="K6" i="3"/>
  <c r="A6" i="3"/>
  <c r="L5" i="3"/>
  <c r="K5" i="3"/>
  <c r="A5" i="3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B4" i="2"/>
  <c r="B36" i="1"/>
  <c r="B35" i="1"/>
  <c r="B34" i="1"/>
  <c r="B33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K7" i="1"/>
  <c r="E7" i="1"/>
  <c r="C7" i="1"/>
  <c r="K6" i="1"/>
  <c r="K5" i="1"/>
  <c r="E5" i="1"/>
  <c r="B11" i="1" s="1"/>
  <c r="C5" i="1"/>
  <c r="A5" i="1"/>
  <c r="H16" i="1" l="1"/>
  <c r="H18" i="1"/>
  <c r="H22" i="1"/>
  <c r="H24" i="1"/>
  <c r="H26" i="1"/>
  <c r="C34" i="1"/>
  <c r="G19" i="1"/>
  <c r="G21" i="1"/>
  <c r="H21" i="1" s="1"/>
  <c r="G23" i="1"/>
  <c r="H25" i="1"/>
  <c r="H27" i="1"/>
  <c r="D29" i="1"/>
  <c r="H20" i="1"/>
  <c r="F17" i="1"/>
  <c r="E29" i="1"/>
  <c r="G18" i="1"/>
  <c r="B37" i="1"/>
  <c r="C37" i="1" s="1"/>
  <c r="G7" i="1"/>
  <c r="F19" i="1"/>
  <c r="F23" i="1"/>
  <c r="F25" i="1"/>
  <c r="F27" i="1"/>
  <c r="F15" i="1"/>
  <c r="G20" i="1"/>
  <c r="K8" i="1"/>
  <c r="H19" i="1"/>
  <c r="F20" i="1"/>
  <c r="H23" i="1"/>
  <c r="G15" i="1"/>
  <c r="H15" i="1" s="1"/>
  <c r="F22" i="1"/>
  <c r="F24" i="1"/>
  <c r="F26" i="1"/>
  <c r="F28" i="1"/>
  <c r="H28" i="1"/>
  <c r="F16" i="1"/>
  <c r="F18" i="1"/>
  <c r="F21" i="1"/>
  <c r="G22" i="1"/>
  <c r="C35" i="1"/>
  <c r="A7" i="1"/>
  <c r="B12" i="1"/>
  <c r="G28" i="1"/>
  <c r="C36" i="1"/>
  <c r="G27" i="1"/>
  <c r="G26" i="1"/>
  <c r="B29" i="1"/>
  <c r="C33" i="1"/>
  <c r="G17" i="1"/>
  <c r="H17" i="1" s="1"/>
  <c r="G25" i="1"/>
  <c r="C29" i="1"/>
  <c r="G5" i="1"/>
  <c r="B10" i="1" s="1"/>
  <c r="G16" i="1"/>
  <c r="G24" i="1"/>
  <c r="F29" i="1" l="1"/>
  <c r="G29" i="1"/>
  <c r="H29" i="1" s="1"/>
</calcChain>
</file>

<file path=xl/sharedStrings.xml><?xml version="1.0" encoding="utf-8"?>
<sst xmlns="http://schemas.openxmlformats.org/spreadsheetml/2006/main" count="1452" uniqueCount="439">
  <si>
    <t>GDPR / Privacy Governance Dashboard – Autoghinzani</t>
  </si>
  <si>
    <t>Monitoraggio readiness ispettiva: compilare Checklist_GDPR e Azioni. Il dashboard si aggiorna tramite formule.</t>
  </si>
  <si>
    <t>Controlli totali</t>
  </si>
  <si>
    <t>OK</t>
  </si>
  <si>
    <t>KO</t>
  </si>
  <si>
    <t>Compliance</t>
  </si>
  <si>
    <t>Stato Checklist</t>
  </si>
  <si>
    <t>Conteggio</t>
  </si>
  <si>
    <t>Da compilare</t>
  </si>
  <si>
    <t>Azioni totali</t>
  </si>
  <si>
    <t>Azioni completate</t>
  </si>
  <si>
    <t>Azioni scadute</t>
  </si>
  <si>
    <t>Non applicabile</t>
  </si>
  <si>
    <t>Readiness sintetica</t>
  </si>
  <si>
    <t>Indice readiness</t>
  </si>
  <si>
    <t>Priorità intervento</t>
  </si>
  <si>
    <t>Azioni svolte</t>
  </si>
  <si>
    <t>Sintesi compliance per sezione</t>
  </si>
  <si>
    <t>1. GOVERNANCE PRIVACY</t>
  </si>
  <si>
    <t>2. REGISTRO DEI TRATTAMENTI</t>
  </si>
  <si>
    <t>3. INFORMATIVE PRIVACY</t>
  </si>
  <si>
    <t>4. AUTORIZZAZIONI E PERSONALE</t>
  </si>
  <si>
    <t>5. RESPONSABILI ESTERNI</t>
  </si>
  <si>
    <t>6. SICUREZZA INFORMATICA</t>
  </si>
  <si>
    <t>7. ANALISI RISCHI E ACCOUNTABILITY</t>
  </si>
  <si>
    <t>8. DIRITTI DEGLI INTERESSATI</t>
  </si>
  <si>
    <t>9. CONSENSI E MARKETING</t>
  </si>
  <si>
    <t>10. VIDEOSORVEGLIANZA</t>
  </si>
  <si>
    <t>11. SITO WEB E COOKIE</t>
  </si>
  <si>
    <t>12. DOCUMENTI ISO / CYBERSECURITY</t>
  </si>
  <si>
    <t>13. EVIDENZE OPERATIVE IMPORTANTI IN CASO DI ISPEZIONE</t>
  </si>
  <si>
    <t>14. VERIFICHE PRATICHE DA FARE IN AUDIT</t>
  </si>
  <si>
    <t>TOTALE</t>
  </si>
  <si>
    <t>Dashboard azioni svolte / remediation</t>
  </si>
  <si>
    <t>Completata</t>
  </si>
  <si>
    <t>Azioni chiuse con evidenza</t>
  </si>
  <si>
    <t>In corso</t>
  </si>
  <si>
    <t>Azioni avviate ma non chiuse</t>
  </si>
  <si>
    <t>Da avviare</t>
  </si>
  <si>
    <t>Azioni non ancora partite</t>
  </si>
  <si>
    <t>Bloccata</t>
  </si>
  <si>
    <t>Azioni da sbloccare</t>
  </si>
  <si>
    <t>Scadute</t>
  </si>
  <si>
    <t>Azioni non completate oltre scadenza</t>
  </si>
  <si>
    <t>Checklist Audit GDPR – Documentazione essenziale in caso di ispezione | Società: Autoghinzani</t>
  </si>
  <si>
    <t>Obiettivo</t>
  </si>
  <si>
    <t>Verifica completezza documentale e readiness ispettiva GDPR / Garante Privacy / audit cliente / ISO 27001</t>
  </si>
  <si>
    <t>Regola calcolo</t>
  </si>
  <si>
    <t>Compliance = OK / (OK + KO). I Non applicabile non incidono sul denominatore.</t>
  </si>
  <si>
    <t>Data ultimo aggiornamento</t>
  </si>
  <si>
    <t>ID</t>
  </si>
  <si>
    <t>Sezione</t>
  </si>
  <si>
    <t>Ambito</t>
  </si>
  <si>
    <t>Requisito / Documento / Controllo</t>
  </si>
  <si>
    <t>Stato</t>
  </si>
  <si>
    <t>Owner</t>
  </si>
  <si>
    <t>Priorità</t>
  </si>
  <si>
    <t>Scadenza</t>
  </si>
  <si>
    <t>Evidenza presente</t>
  </si>
  <si>
    <t>Link/Repository evidenza</t>
  </si>
  <si>
    <t>Note</t>
  </si>
  <si>
    <t>Punteggio</t>
  </si>
  <si>
    <t>Esito governance</t>
  </si>
  <si>
    <t>Azione suggerita</t>
  </si>
  <si>
    <t>CTR-001</t>
  </si>
  <si>
    <t>Documenti societari e ruoli</t>
  </si>
  <si>
    <t>Organigramma privacy aggiornato</t>
  </si>
  <si>
    <t>Media</t>
  </si>
  <si>
    <t>CTR-002</t>
  </si>
  <si>
    <t>Nomina Titolare del trattamento</t>
  </si>
  <si>
    <t>CTR-003</t>
  </si>
  <si>
    <t>Nomina eventuale Contitolare</t>
  </si>
  <si>
    <t>CTR-004</t>
  </si>
  <si>
    <t>Nomina Amministratori di Sistema (ADS)</t>
  </si>
  <si>
    <t>CTR-005</t>
  </si>
  <si>
    <t>Registro ADS con funzioni attribuite</t>
  </si>
  <si>
    <t>CTR-006</t>
  </si>
  <si>
    <t>Verifiche annuali ADS</t>
  </si>
  <si>
    <t>CTR-007</t>
  </si>
  <si>
    <t>Log ADS e conservazione log</t>
  </si>
  <si>
    <t>CTR-008</t>
  </si>
  <si>
    <t>Nomina DPO (se presente/obbligatorio)</t>
  </si>
  <si>
    <t>CTR-009</t>
  </si>
  <si>
    <t>Lettera incarico DPO</t>
  </si>
  <si>
    <t>CTR-010</t>
  </si>
  <si>
    <t>Pubblicazione contatti DPO</t>
  </si>
  <si>
    <t>CTR-011</t>
  </si>
  <si>
    <t>Contratto/lettera incarico consulente privacy</t>
  </si>
  <si>
    <t>CTR-012</t>
  </si>
  <si>
    <t>Organigramma IT/Sicurezza</t>
  </si>
  <si>
    <t>CTR-013</t>
  </si>
  <si>
    <t>Registro Art. 30 GDPR</t>
  </si>
  <si>
    <t>Registro trattamenti Titolare aggiornato</t>
  </si>
  <si>
    <t>CTR-014</t>
  </si>
  <si>
    <t>Registro Responsabile esterno (se applicabile)</t>
  </si>
  <si>
    <t>CTR-015</t>
  </si>
  <si>
    <t>Elenco finalità trattamento</t>
  </si>
  <si>
    <t>CTR-016</t>
  </si>
  <si>
    <t>Base giuridica per ogni trattamento</t>
  </si>
  <si>
    <t>CTR-017</t>
  </si>
  <si>
    <t>Tempi conservazione dati</t>
  </si>
  <si>
    <t>CTR-018</t>
  </si>
  <si>
    <t>Categorie interessati</t>
  </si>
  <si>
    <t>CTR-019</t>
  </si>
  <si>
    <t>Categorie dati trattati</t>
  </si>
  <si>
    <t>CTR-020</t>
  </si>
  <si>
    <t>Destinatari dati</t>
  </si>
  <si>
    <t>CTR-021</t>
  </si>
  <si>
    <t>Trasferimenti extra UE</t>
  </si>
  <si>
    <t>CTR-022</t>
  </si>
  <si>
    <t>Misure tecniche e organizzative</t>
  </si>
  <si>
    <t>CTR-023</t>
  </si>
  <si>
    <t>Informative obbligatorie</t>
  </si>
  <si>
    <t>Informativa dipendenti</t>
  </si>
  <si>
    <t>CTR-024</t>
  </si>
  <si>
    <t>Informativa candidati</t>
  </si>
  <si>
    <t>CTR-025</t>
  </si>
  <si>
    <t>Informativa clienti</t>
  </si>
  <si>
    <t>CTR-026</t>
  </si>
  <si>
    <t>Informativa fornitori</t>
  </si>
  <si>
    <t>CTR-027</t>
  </si>
  <si>
    <t>Informativa videosorveglianza</t>
  </si>
  <si>
    <t>CTR-028</t>
  </si>
  <si>
    <t>Cartelli videosorveglianza conformi</t>
  </si>
  <si>
    <t>CTR-029</t>
  </si>
  <si>
    <t>Informativa sito web</t>
  </si>
  <si>
    <t>CTR-030</t>
  </si>
  <si>
    <t>Cookie policy</t>
  </si>
  <si>
    <t>CTR-031</t>
  </si>
  <si>
    <t>Privacy policy sito</t>
  </si>
  <si>
    <t>CTR-032</t>
  </si>
  <si>
    <t>Informativa marketing</t>
  </si>
  <si>
    <t>CTR-033</t>
  </si>
  <si>
    <t>Informativa newsletter</t>
  </si>
  <si>
    <t>CTR-034</t>
  </si>
  <si>
    <t>Informativa eventi/test drive</t>
  </si>
  <si>
    <t>CTR-035</t>
  </si>
  <si>
    <t>Informativa geolocalizzazione (se presente)</t>
  </si>
  <si>
    <t>CTR-036</t>
  </si>
  <si>
    <t>Informativa telecamere dashcam/ADAS (se applicabile)</t>
  </si>
  <si>
    <t>CTR-037</t>
  </si>
  <si>
    <t>Personale autorizzato</t>
  </si>
  <si>
    <t>Nomine autorizzati al trattamento</t>
  </si>
  <si>
    <t>CTR-038</t>
  </si>
  <si>
    <t>Regolamento interno privacy</t>
  </si>
  <si>
    <t>CTR-039</t>
  </si>
  <si>
    <t>Policy utilizzo strumenti IT</t>
  </si>
  <si>
    <t>CTR-040</t>
  </si>
  <si>
    <t>Policy posta elettronica</t>
  </si>
  <si>
    <t>CTR-041</t>
  </si>
  <si>
    <t>Policy password</t>
  </si>
  <si>
    <t>CTR-042</t>
  </si>
  <si>
    <t>Policy smart working</t>
  </si>
  <si>
    <t>CTR-043</t>
  </si>
  <si>
    <t>Policy BYOD</t>
  </si>
  <si>
    <t>CTR-044</t>
  </si>
  <si>
    <t>Policy utilizzo internet</t>
  </si>
  <si>
    <t>CTR-045</t>
  </si>
  <si>
    <t>Registro consegna credenziali</t>
  </si>
  <si>
    <t>CTR-046</t>
  </si>
  <si>
    <t>Registro consegna asset IT</t>
  </si>
  <si>
    <t>CTR-047</t>
  </si>
  <si>
    <t>NDA / impegni riservatezza</t>
  </si>
  <si>
    <t>CTR-048</t>
  </si>
  <si>
    <t>Evidenze formazione GDPR</t>
  </si>
  <si>
    <t>CTR-049</t>
  </si>
  <si>
    <t>Registro formazione privacy</t>
  </si>
  <si>
    <t>CTR-050</t>
  </si>
  <si>
    <t>Test apprendimento formazione</t>
  </si>
  <si>
    <t>CTR-051</t>
  </si>
  <si>
    <t>Contratti art. 28 GDPR</t>
  </si>
  <si>
    <t>Elenco responsabili esterni</t>
  </si>
  <si>
    <t>CTR-052</t>
  </si>
  <si>
    <t>Nomine responsabili esterni firmate</t>
  </si>
  <si>
    <t>CTR-053</t>
  </si>
  <si>
    <t>Clausole GDPR nei contratti</t>
  </si>
  <si>
    <t>CTR-054</t>
  </si>
  <si>
    <t>Valutazione fornitori privacy</t>
  </si>
  <si>
    <t>CTR-055</t>
  </si>
  <si>
    <t>Elenco sub-responsabili</t>
  </si>
  <si>
    <t>CTR-056</t>
  </si>
  <si>
    <t>Contratti cloud provider</t>
  </si>
  <si>
    <t>CTR-057</t>
  </si>
  <si>
    <t>SCC trasferimento extra UE</t>
  </si>
  <si>
    <t>CTR-058</t>
  </si>
  <si>
    <t>DPA Microsoft/Google/CRM/DMS</t>
  </si>
  <si>
    <t>CTR-059</t>
  </si>
  <si>
    <t>Policy sicurezza informatica</t>
  </si>
  <si>
    <t>Alta</t>
  </si>
  <si>
    <t>CTR-060</t>
  </si>
  <si>
    <t>Policy backup</t>
  </si>
  <si>
    <t>CTR-061</t>
  </si>
  <si>
    <t>Policy disaster recovery</t>
  </si>
  <si>
    <t>CTR-062</t>
  </si>
  <si>
    <t>Business Continuity Plan</t>
  </si>
  <si>
    <t>CTR-063</t>
  </si>
  <si>
    <t>Incident Response Plan</t>
  </si>
  <si>
    <t>CTR-064</t>
  </si>
  <si>
    <t>Registro incidenti sicurezza</t>
  </si>
  <si>
    <t>CTR-065</t>
  </si>
  <si>
    <t>Registro data breach</t>
  </si>
  <si>
    <t>CTR-066</t>
  </si>
  <si>
    <t>Procedura gestione data breach</t>
  </si>
  <si>
    <t>CTR-067</t>
  </si>
  <si>
    <t>Vulnerability assessment</t>
  </si>
  <si>
    <t>CTR-068</t>
  </si>
  <si>
    <t>Penetration test</t>
  </si>
  <si>
    <t>CTR-069</t>
  </si>
  <si>
    <t>Inventario asset IT</t>
  </si>
  <si>
    <t>CTR-070</t>
  </si>
  <si>
    <t>Inventario software</t>
  </si>
  <si>
    <t>CTR-071</t>
  </si>
  <si>
    <t>Gestione patching</t>
  </si>
  <si>
    <t>CTR-072</t>
  </si>
  <si>
    <t>MFA policy</t>
  </si>
  <si>
    <t>CTR-073</t>
  </si>
  <si>
    <t>Antivirus/EDR policy</t>
  </si>
  <si>
    <t>CTR-074</t>
  </si>
  <si>
    <t>Segmentazione rete</t>
  </si>
  <si>
    <t>CTR-075</t>
  </si>
  <si>
    <t>Gestione accessi privilegiati</t>
  </si>
  <si>
    <t>CTR-076</t>
  </si>
  <si>
    <t>Hardening server/client</t>
  </si>
  <si>
    <t>CTR-077</t>
  </si>
  <si>
    <t>Backup test restore</t>
  </si>
  <si>
    <t>CTR-078</t>
  </si>
  <si>
    <t>Procedure onboarding/offboarding utenti</t>
  </si>
  <si>
    <t>CTR-079</t>
  </si>
  <si>
    <t>Compliance e risk management</t>
  </si>
  <si>
    <t>Analisi dei rischi privacy</t>
  </si>
  <si>
    <t>CTR-080</t>
  </si>
  <si>
    <t>Analisi impatto trattamenti</t>
  </si>
  <si>
    <t>CTR-081</t>
  </si>
  <si>
    <t>DPIA (se necessarie)</t>
  </si>
  <si>
    <t>CTR-082</t>
  </si>
  <si>
    <t>Gap analysis GDPR</t>
  </si>
  <si>
    <t>CTR-083</t>
  </si>
  <si>
    <t>Piano remediation</t>
  </si>
  <si>
    <t>CTR-084</t>
  </si>
  <si>
    <t>Riesame periodico compliance</t>
  </si>
  <si>
    <t>CTR-085</t>
  </si>
  <si>
    <t>Audit interni privacy</t>
  </si>
  <si>
    <t>CTR-086</t>
  </si>
  <si>
    <t>Verbali audit</t>
  </si>
  <si>
    <t>CTR-087</t>
  </si>
  <si>
    <t>KPI compliance</t>
  </si>
  <si>
    <t>CTR-088</t>
  </si>
  <si>
    <t>Evidenze accountability</t>
  </si>
  <si>
    <t>CTR-089</t>
  </si>
  <si>
    <t>Gestione richieste</t>
  </si>
  <si>
    <t>Procedura gestione diritti interessati</t>
  </si>
  <si>
    <t>CTR-090</t>
  </si>
  <si>
    <t>Registro richieste privacy</t>
  </si>
  <si>
    <t>CTR-091</t>
  </si>
  <si>
    <t>Moduli esercizio diritti</t>
  </si>
  <si>
    <t>CTR-092</t>
  </si>
  <si>
    <t>Gestione revoca consenso</t>
  </si>
  <si>
    <t>CTR-093</t>
  </si>
  <si>
    <t>Gestione opposizione marketing</t>
  </si>
  <si>
    <t>CTR-094</t>
  </si>
  <si>
    <t>Evidenze risposte agli interessati</t>
  </si>
  <si>
    <t>CTR-095</t>
  </si>
  <si>
    <t>Marketing e profilazione</t>
  </si>
  <si>
    <t>Registro consensi</t>
  </si>
  <si>
    <t>CTR-096</t>
  </si>
  <si>
    <t>Moduli consenso marketing</t>
  </si>
  <si>
    <t>CTR-097</t>
  </si>
  <si>
    <t>Moduli consenso profilazione</t>
  </si>
  <si>
    <t>CTR-098</t>
  </si>
  <si>
    <t>Double opt-in newsletter</t>
  </si>
  <si>
    <t>CTR-099</t>
  </si>
  <si>
    <t>Gestione blacklist/opposizioni</t>
  </si>
  <si>
    <t>CTR-100</t>
  </si>
  <si>
    <t>Procedura campagne marketing</t>
  </si>
  <si>
    <t>CTR-101</t>
  </si>
  <si>
    <t>Compliance telecamere</t>
  </si>
  <si>
    <t>Valutazione necessità impianto</t>
  </si>
  <si>
    <t>CTR-102</t>
  </si>
  <si>
    <t>Cartelli conformi</t>
  </si>
  <si>
    <t>CTR-103</t>
  </si>
  <si>
    <t>Informativa estesa</t>
  </si>
  <si>
    <t>CTR-104</t>
  </si>
  <si>
    <t>Regolamento videosorveglianza</t>
  </si>
  <si>
    <t>CTR-105</t>
  </si>
  <si>
    <t>Policy accesso immagini</t>
  </si>
  <si>
    <t>CTR-106</t>
  </si>
  <si>
    <t>Registro accessi registrazioni</t>
  </si>
  <si>
    <t>CTR-107</t>
  </si>
  <si>
    <t>Nomina installatore/manutentore</t>
  </si>
  <si>
    <t>CTR-108</t>
  </si>
  <si>
    <t>Tempi conservazione immagini</t>
  </si>
  <si>
    <t>CTR-109</t>
  </si>
  <si>
    <t>Verifica angoli ripresa</t>
  </si>
  <si>
    <t>CTR-110</t>
  </si>
  <si>
    <t>Accordo sindacale/Ispettorato Lavoro (se necessario)</t>
  </si>
  <si>
    <t>CTR-111</t>
  </si>
  <si>
    <t>Compliance digitale</t>
  </si>
  <si>
    <t>Cookie banner conforme</t>
  </si>
  <si>
    <t>CTR-112</t>
  </si>
  <si>
    <t>Registro cookie</t>
  </si>
  <si>
    <t>CTR-113</t>
  </si>
  <si>
    <t>CMP configurata</t>
  </si>
  <si>
    <t>CTR-114</t>
  </si>
  <si>
    <t>Blocco preventivo cookie profilazione</t>
  </si>
  <si>
    <t>CTR-115</t>
  </si>
  <si>
    <t>Google Analytics anonimizzato</t>
  </si>
  <si>
    <t>CTR-116</t>
  </si>
  <si>
    <t>Contratti hosting/provider</t>
  </si>
  <si>
    <t>CTR-117</t>
  </si>
  <si>
    <t>Log accessi amministratori sito</t>
  </si>
  <si>
    <t>CTR-118</t>
  </si>
  <si>
    <t>Governance sicurezza</t>
  </si>
  <si>
    <t>Statement of Applicability</t>
  </si>
  <si>
    <t>CTR-119</t>
  </si>
  <si>
    <t>Risk assessment ISO 27001</t>
  </si>
  <si>
    <t>CTR-120</t>
  </si>
  <si>
    <t>Inventory asset</t>
  </si>
  <si>
    <t>CTR-121</t>
  </si>
  <si>
    <t>Asset owner</t>
  </si>
  <si>
    <t>CTR-122</t>
  </si>
  <si>
    <t>Classificazione informazioni</t>
  </si>
  <si>
    <t>CTR-123</t>
  </si>
  <si>
    <t>Procedure operative sicurezza</t>
  </si>
  <si>
    <t>CTR-124</t>
  </si>
  <si>
    <t>Riesame direzione</t>
  </si>
  <si>
    <t>CTR-125</t>
  </si>
  <si>
    <t>Piano audit interni</t>
  </si>
  <si>
    <t>CTR-126</t>
  </si>
  <si>
    <t>Gestione non conformità</t>
  </si>
  <si>
    <t>CTR-127</t>
  </si>
  <si>
    <t>Piano miglioramento</t>
  </si>
  <si>
    <t>CTR-128</t>
  </si>
  <si>
    <t>Da avere immediatamente disponibili</t>
  </si>
  <si>
    <t>Ultimo VA/PT</t>
  </si>
  <si>
    <t>CTR-129</t>
  </si>
  <si>
    <t>Screenshot MFA attiva</t>
  </si>
  <si>
    <t>CTR-130</t>
  </si>
  <si>
    <t>Evidenza backup</t>
  </si>
  <si>
    <t>CTR-131</t>
  </si>
  <si>
    <t>Evidenza antivirus/EDR</t>
  </si>
  <si>
    <t>CTR-132</t>
  </si>
  <si>
    <t>Elenco utenti attivi</t>
  </si>
  <si>
    <t>CTR-133</t>
  </si>
  <si>
    <t>Elenco account amministrativi</t>
  </si>
  <si>
    <t>CTR-134</t>
  </si>
  <si>
    <t>Elenco software installati</t>
  </si>
  <si>
    <t>CTR-135</t>
  </si>
  <si>
    <t>Elenco telecamere</t>
  </si>
  <si>
    <t>CTR-136</t>
  </si>
  <si>
    <t>Contratti cloud</t>
  </si>
  <si>
    <t>CTR-137</t>
  </si>
  <si>
    <t>Ultimo audit privacy</t>
  </si>
  <si>
    <t>CTR-138</t>
  </si>
  <si>
    <t>Ultimo corso formazione</t>
  </si>
  <si>
    <t>CTR-139</t>
  </si>
  <si>
    <t>Controlli operativi</t>
  </si>
  <si>
    <t>PC bloccati automaticamente</t>
  </si>
  <si>
    <t>CTR-140</t>
  </si>
  <si>
    <t>Password robuste</t>
  </si>
  <si>
    <t>CTR-141</t>
  </si>
  <si>
    <t>MFA attiva</t>
  </si>
  <si>
    <t>CTR-142</t>
  </si>
  <si>
    <t>Scrivanie pulite</t>
  </si>
  <si>
    <t>CTR-143</t>
  </si>
  <si>
    <t>Armadi chiusi</t>
  </si>
  <si>
    <t>CTR-144</t>
  </si>
  <si>
    <t>Distruzione documenti cartacei</t>
  </si>
  <si>
    <t>CTR-145</t>
  </si>
  <si>
    <t>Badge accesso locali</t>
  </si>
  <si>
    <t>CTR-146</t>
  </si>
  <si>
    <t>Accessi ex dipendenti disabilitati</t>
  </si>
  <si>
    <t>CTR-147</t>
  </si>
  <si>
    <t>USB limitate</t>
  </si>
  <si>
    <t>CTR-148</t>
  </si>
  <si>
    <t>Nessun software non autorizzato</t>
  </si>
  <si>
    <t>CTR-149</t>
  </si>
  <si>
    <t>Backup funzionanti</t>
  </si>
  <si>
    <t>CTR-150</t>
  </si>
  <si>
    <t>Telecamere non invasive</t>
  </si>
  <si>
    <t>Registro Azioni / Remediation – Tracking azioni svolte e aperte</t>
  </si>
  <si>
    <t>Usare questo foglio per ogni KO o gap rilevato. Compilare Azione correttiva, Owner, Stato e Scadenza. Il Dashboard calcola avanzamento, scaduti e azioni completate.</t>
  </si>
  <si>
    <t>ID Azione</t>
  </si>
  <si>
    <t>ID Checklist</t>
  </si>
  <si>
    <t>Azione correttiva</t>
  </si>
  <si>
    <t>Stato Azione</t>
  </si>
  <si>
    <t>Data apertura</t>
  </si>
  <si>
    <t>Data chiusura</t>
  </si>
  <si>
    <t>% Avanzamento</t>
  </si>
  <si>
    <t>Scaduta?</t>
  </si>
  <si>
    <t>Registro Evidenze Documentali – Audit GDPR / Ispezione</t>
  </si>
  <si>
    <t>Documento/Evidenza</t>
  </si>
  <si>
    <t>Repository / Link / Posizione</t>
  </si>
  <si>
    <t>Stato Evidenza</t>
  </si>
  <si>
    <t>Data verifica</t>
  </si>
  <si>
    <t>Validità fino a</t>
  </si>
  <si>
    <t>Matrice Governance / RACI – Privacy, Security, ISO 27001</t>
  </si>
  <si>
    <t>Area / Processo</t>
  </si>
  <si>
    <t>Accountable</t>
  </si>
  <si>
    <t>Responsible</t>
  </si>
  <si>
    <t>Consulted</t>
  </si>
  <si>
    <t>Informed</t>
  </si>
  <si>
    <t>Frequenza controllo</t>
  </si>
  <si>
    <t>KPI / Evidenza</t>
  </si>
  <si>
    <t>Risk Rating</t>
  </si>
  <si>
    <t>Annuale</t>
  </si>
  <si>
    <t>% compliance sezione / evidenze aggiornate</t>
  </si>
  <si>
    <t>Medio</t>
  </si>
  <si>
    <t>Trimestrale</t>
  </si>
  <si>
    <t>Alto</t>
  </si>
  <si>
    <t>Semestrale</t>
  </si>
  <si>
    <t>Stati Checklist</t>
  </si>
  <si>
    <t>Stati Azione</t>
  </si>
  <si>
    <t>Sezioni</t>
  </si>
  <si>
    <t>Stati Evidenza</t>
  </si>
  <si>
    <t>Critica</t>
  </si>
  <si>
    <t>Presente</t>
  </si>
  <si>
    <t>Basso</t>
  </si>
  <si>
    <t>Mancante</t>
  </si>
  <si>
    <t>Parziale</t>
  </si>
  <si>
    <t>Bassa</t>
  </si>
  <si>
    <t>Critico</t>
  </si>
  <si>
    <t>Workbook Governance GDPR / Audit Readiness – Autoghinzani</t>
  </si>
  <si>
    <t>Come usarla</t>
  </si>
  <si>
    <t>Dashboard</t>
  </si>
  <si>
    <t>Vista executive con compliance complessiva, stato documentazione, distribuzione OK/KO/Non applicabile e avanzamento azioni.</t>
  </si>
  <si>
    <t>Checklist_GDPR</t>
  </si>
  <si>
    <t>Compilare la colonna Stato con il menu a tendina: OK, KO o Non applicabile. La % compliance esclude i Non applicabile dal denominatore.</t>
  </si>
  <si>
    <t>Azioni</t>
  </si>
  <si>
    <t>Inserire una remediation per ogni KO: owner, priorità, stato, scadenza e note. Il dashboard calcola azioni completate, aperte e scadute.</t>
  </si>
  <si>
    <t>Registro_Evidenze</t>
  </si>
  <si>
    <t>Mappare link, repository o posizione delle evidenze documentali da mostrare in caso di ispezione o audit cliente.</t>
  </si>
  <si>
    <t>Governance_RACI</t>
  </si>
  <si>
    <t>Assegnare owner e responsabilità per area: Accountable, Responsible, Consulted, Informed, frequenza e KPI.</t>
  </si>
  <si>
    <t>Parametri</t>
  </si>
  <si>
    <t>Contiene le liste utilizzate dai menu a tendina. Modificare qui le voci se necessario.</t>
  </si>
  <si>
    <t>Regola compliance</t>
  </si>
  <si>
    <t>Compliance = OK / (OK + KO). I Non applicabile sono esclusi dal calcolo; i blank restano da compilare.</t>
  </si>
  <si>
    <t>Sì</t>
  </si>
  <si>
    <t>AGGIORNAREINFORMATIVE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</si>
</sst>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F172A"/>
      <name val="Carlito"/>
    </font>
    <font>
      <sz val="11"/>
      <color rgb="FF0F172A"/>
      <name val="Carlito"/>
    </font>
    <font>
      <b/>
      <sz val="11"/>
      <color rgb="FF92400E"/>
      <name val="Carlito"/>
    </font>
    <font>
      <i/>
      <sz val="11"/>
      <color rgb="FF0F172A"/>
      <name val="Carlito"/>
    </font>
    <font>
      <b/>
      <sz val="14"/>
      <color rgb="FF0F172A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3" fillId="4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164" fontId="4" fillId="5" borderId="0" xfId="1" applyNumberFormat="1" applyFont="1" applyFill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wrapText="1"/>
    </xf>
    <xf numFmtId="9" fontId="0" fillId="0" borderId="0" xfId="1" applyNumberFormat="1" applyFont="1" applyAlignment="1">
      <alignment vertical="top" wrapText="1"/>
    </xf>
    <xf numFmtId="1" fontId="1" fillId="2" borderId="0" xfId="1" applyNumberFormat="1" applyFont="1" applyFill="1" applyAlignment="1">
      <alignment horizontal="center" vertical="center" wrapText="1"/>
    </xf>
    <xf numFmtId="1" fontId="3" fillId="4" borderId="0" xfId="1" applyNumberFormat="1" applyFont="1" applyFill="1" applyAlignment="1">
      <alignment horizontal="center" vertical="center" wrapText="1"/>
    </xf>
    <xf numFmtId="9" fontId="1" fillId="2" borderId="0" xfId="1" applyNumberFormat="1" applyFont="1" applyFill="1" applyAlignment="1">
      <alignment horizontal="center" vertical="center" wrapText="1"/>
    </xf>
    <xf numFmtId="9" fontId="3" fillId="4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4" fillId="5" borderId="0" xfId="1" applyFont="1" applyFill="1" applyAlignment="1">
      <alignment vertical="center" wrapText="1"/>
    </xf>
    <xf numFmtId="9" fontId="4" fillId="5" borderId="0" xfId="1" applyNumberFormat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1" fontId="0" fillId="0" borderId="0" xfId="1" applyNumberFormat="1" applyFont="1" applyAlignment="1">
      <alignment vertical="center"/>
    </xf>
    <xf numFmtId="9" fontId="0" fillId="0" borderId="0" xfId="1" applyNumberFormat="1" applyFont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6" fillId="7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horizontal="center" vertical="center"/>
    </xf>
    <xf numFmtId="9" fontId="7" fillId="5" borderId="0" xfId="1" applyNumberFormat="1" applyFont="1" applyFill="1" applyAlignment="1">
      <alignment horizontal="center" vertical="center"/>
    </xf>
    <xf numFmtId="0" fontId="1" fillId="8" borderId="0" xfId="1" applyFont="1" applyFill="1" applyAlignment="1">
      <alignment horizontal="center" vertical="center" wrapText="1"/>
    </xf>
    <xf numFmtId="0" fontId="0" fillId="0" borderId="0" xfId="0"/>
    <xf numFmtId="0" fontId="5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e" xfId="0" builtinId="0"/>
  </cellStyles>
  <dxfs count="25">
    <dxf>
      <font>
        <b/>
        <color rgb="FF0F172A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Distribuzione stato checklist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Conteggio</c:v>
          </c:tx>
          <c:cat>
            <c:strRef>
              <c:f>Dashboard!$J$5:$J$8</c:f>
              <c:strCache>
                <c:ptCount val="4"/>
                <c:pt idx="0">
                  <c:v>OK</c:v>
                </c:pt>
                <c:pt idx="1">
                  <c:v>KO</c:v>
                </c:pt>
                <c:pt idx="2">
                  <c:v>Non applicabile</c:v>
                </c:pt>
                <c:pt idx="3">
                  <c:v>Da compilare</c:v>
                </c:pt>
              </c:strCache>
            </c:strRef>
          </c:cat>
          <c:val>
            <c:numRef>
              <c:f>Dashboard!$K$5:$K$8</c:f>
              <c:numCache>
                <c:formatCode>General</c:formatCode>
                <c:ptCount val="4"/>
                <c:pt idx="0">
                  <c:v>13</c:v>
                </c:pt>
                <c:pt idx="1">
                  <c:v>2</c:v>
                </c:pt>
                <c:pt idx="2">
                  <c:v>2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0-5E43-A213-9904016BC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Compliance</c:v>
          </c:tx>
          <c:invertIfNegative val="1"/>
          <c:cat>
            <c:strRef>
              <c:f>Dashboard!$A$15:$A$28</c:f>
              <c:strCache>
                <c:ptCount val="14"/>
                <c:pt idx="0">
                  <c:v>1. GOVERNANCE PRIVACY</c:v>
                </c:pt>
                <c:pt idx="1">
                  <c:v>2. REGISTRO DEI TRATTAMENTI</c:v>
                </c:pt>
                <c:pt idx="2">
                  <c:v>3. INFORMATIVE PRIVACY</c:v>
                </c:pt>
                <c:pt idx="3">
                  <c:v>4. AUTORIZZAZIONI E PERSONALE</c:v>
                </c:pt>
                <c:pt idx="4">
                  <c:v>5. RESPONSABILI ESTERNI</c:v>
                </c:pt>
                <c:pt idx="5">
                  <c:v>6. SICUREZZA INFORMATICA</c:v>
                </c:pt>
                <c:pt idx="6">
                  <c:v>7. ANALISI RISCHI E ACCOUNTABILITY</c:v>
                </c:pt>
                <c:pt idx="7">
                  <c:v>8. DIRITTI DEGLI INTERESSATI</c:v>
                </c:pt>
                <c:pt idx="8">
                  <c:v>9. CONSENSI E MARKETING</c:v>
                </c:pt>
                <c:pt idx="9">
                  <c:v>10. VIDEOSORVEGLIANZA</c:v>
                </c:pt>
                <c:pt idx="10">
                  <c:v>11. SITO WEB E COOKIE</c:v>
                </c:pt>
                <c:pt idx="11">
                  <c:v>12. DOCUMENTI ISO / CYBERSECURITY</c:v>
                </c:pt>
                <c:pt idx="12">
                  <c:v>13. EVIDENZE OPERATIVE IMPORTANTI IN CASO DI ISPEZIONE</c:v>
                </c:pt>
                <c:pt idx="13">
                  <c:v>14. VERIFICHE PRATICHE DA FARE IN AUDIT</c:v>
                </c:pt>
              </c:strCache>
            </c:strRef>
          </c:cat>
          <c:val>
            <c:numRef>
              <c:f>Dashboard!$G$15:$G$28</c:f>
              <c:numCache>
                <c:formatCode>0%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2-DD46-ABC1-1E685F83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Azioni</c:v>
          </c:tx>
          <c:invertIfNegative val="1"/>
          <c:cat>
            <c:strRef>
              <c:f>Dashboard!$A$33:$A$37</c:f>
              <c:strCache>
                <c:ptCount val="5"/>
                <c:pt idx="0">
                  <c:v>Completata</c:v>
                </c:pt>
                <c:pt idx="1">
                  <c:v>In corso</c:v>
                </c:pt>
                <c:pt idx="2">
                  <c:v>Da avviare</c:v>
                </c:pt>
                <c:pt idx="3">
                  <c:v>Bloccata</c:v>
                </c:pt>
                <c:pt idx="4">
                  <c:v>Scadute</c:v>
                </c:pt>
              </c:strCache>
            </c:strRef>
          </c:cat>
          <c:val>
            <c:numRef>
              <c:f>Dashboard!$B$33:$B$37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8-CD49-8F5B-BDF59D71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17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GDPR" displayName="ChecklistGDPR" ref="A6:N156">
  <tableColumns count="14">
    <tableColumn id="1" xr3:uid="{00000000-0010-0000-0000-000001000000}" name="ID"/>
    <tableColumn id="2" xr3:uid="{00000000-0010-0000-0000-000002000000}" name="Sezione"/>
    <tableColumn id="3" xr3:uid="{00000000-0010-0000-0000-000003000000}" name="Ambito"/>
    <tableColumn id="4" xr3:uid="{00000000-0010-0000-0000-000004000000}" name="Requisito / Documento / Controllo"/>
    <tableColumn id="5" xr3:uid="{00000000-0010-0000-0000-000005000000}" name="Stato"/>
    <tableColumn id="6" xr3:uid="{00000000-0010-0000-0000-000006000000}" name="Owner"/>
    <tableColumn id="7" xr3:uid="{00000000-0010-0000-0000-000007000000}" name="Priorità"/>
    <tableColumn id="8" xr3:uid="{00000000-0010-0000-0000-000008000000}" name="Scadenza"/>
    <tableColumn id="9" xr3:uid="{00000000-0010-0000-0000-000009000000}" name="Evidenza presente"/>
    <tableColumn id="10" xr3:uid="{00000000-0010-0000-0000-00000A000000}" name="Link/Repository evidenza"/>
    <tableColumn id="11" xr3:uid="{00000000-0010-0000-0000-00000B000000}" name="Note"/>
    <tableColumn id="12" xr3:uid="{00000000-0010-0000-0000-00000C000000}" name="Punteggio"/>
    <tableColumn id="13" xr3:uid="{00000000-0010-0000-0000-00000D000000}" name="Esito governance"/>
    <tableColumn id="14" xr3:uid="{00000000-0010-0000-0000-00000E000000}" name="Azione suggeri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zioniTable" displayName="AzioniTable" ref="A4:M124">
  <tableColumns count="13">
    <tableColumn id="1" xr3:uid="{00000000-0010-0000-0100-000001000000}" name="ID Azione"/>
    <tableColumn id="2" xr3:uid="{00000000-0010-0000-0100-000002000000}" name="ID Checklist"/>
    <tableColumn id="3" xr3:uid="{00000000-0010-0000-0100-000003000000}" name="Sezione"/>
    <tableColumn id="4" xr3:uid="{00000000-0010-0000-0100-000004000000}" name="Azione correttiva"/>
    <tableColumn id="5" xr3:uid="{00000000-0010-0000-0100-000005000000}" name="Owner"/>
    <tableColumn id="6" xr3:uid="{00000000-0010-0000-0100-000006000000}" name="Priorità"/>
    <tableColumn id="7" xr3:uid="{00000000-0010-0000-0100-000007000000}" name="Stato Azione"/>
    <tableColumn id="8" xr3:uid="{00000000-0010-0000-0100-000008000000}" name="Data apertura"/>
    <tableColumn id="9" xr3:uid="{00000000-0010-0000-0100-000009000000}" name="Scadenza"/>
    <tableColumn id="10" xr3:uid="{00000000-0010-0000-0100-00000A000000}" name="Data chiusura"/>
    <tableColumn id="11" xr3:uid="{00000000-0010-0000-0100-00000B000000}" name="% Avanzamento"/>
    <tableColumn id="12" xr3:uid="{00000000-0010-0000-0100-00000C000000}" name="Scaduta?"/>
    <tableColumn id="13" xr3:uid="{00000000-0010-0000-0100-00000D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zeTable" displayName="EvidenzeTable" ref="A4:I154">
  <tableColumns count="9">
    <tableColumn id="1" xr3:uid="{00000000-0010-0000-0200-000001000000}" name="ID Checklist"/>
    <tableColumn id="2" xr3:uid="{00000000-0010-0000-0200-000002000000}" name="Sezione"/>
    <tableColumn id="3" xr3:uid="{00000000-0010-0000-0200-000003000000}" name="Documento/Evidenza"/>
    <tableColumn id="4" xr3:uid="{00000000-0010-0000-0200-000004000000}" name="Repository / Link / Posizione"/>
    <tableColumn id="5" xr3:uid="{00000000-0010-0000-0200-000005000000}" name="Owner"/>
    <tableColumn id="6" xr3:uid="{00000000-0010-0000-0200-000006000000}" name="Stato Evidenza"/>
    <tableColumn id="7" xr3:uid="{00000000-0010-0000-0200-000007000000}" name="Data verifica"/>
    <tableColumn id="8" xr3:uid="{00000000-0010-0000-0200-000008000000}" name="Validità fino a"/>
    <tableColumn id="9" xr3:uid="{00000000-0010-0000-0200-000009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CITable" displayName="RACITable" ref="A4:I18">
  <tableColumns count="9">
    <tableColumn id="1" xr3:uid="{00000000-0010-0000-0300-000001000000}" name="Area / Processo"/>
    <tableColumn id="2" xr3:uid="{00000000-0010-0000-0300-000002000000}" name="Accountable"/>
    <tableColumn id="3" xr3:uid="{00000000-0010-0000-0300-000003000000}" name="Responsible"/>
    <tableColumn id="4" xr3:uid="{00000000-0010-0000-0300-000004000000}" name="Consulted"/>
    <tableColumn id="5" xr3:uid="{00000000-0010-0000-0300-000005000000}" name="Informed"/>
    <tableColumn id="6" xr3:uid="{00000000-0010-0000-0300-000006000000}" name="Frequenza controllo"/>
    <tableColumn id="7" xr3:uid="{00000000-0010-0000-0300-000007000000}" name="KPI / Evidenza"/>
    <tableColumn id="8" xr3:uid="{00000000-0010-0000-0300-000008000000}" name="Risk Rating"/>
    <tableColumn id="9" xr3:uid="{00000000-0010-0000-0300-000009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opLeftCell="A4" workbookViewId="0">
      <selection activeCell="A4" sqref="A1:XFD1048576"/>
    </sheetView>
  </sheetViews>
  <sheetFormatPr baseColWidth="10" defaultColWidth="8.83203125" defaultRowHeight="14"/>
  <cols>
    <col min="1" max="1" width="42" customWidth="1"/>
    <col min="2" max="2" width="12" customWidth="1"/>
    <col min="3" max="3" width="13" customWidth="1"/>
    <col min="4" max="4" width="16" customWidth="1"/>
    <col min="5" max="5" width="12" customWidth="1"/>
    <col min="6" max="6" width="13" customWidth="1"/>
    <col min="7" max="8" width="15" customWidth="1"/>
    <col min="9" max="9" width="3" customWidth="1"/>
    <col min="10" max="10" width="22" customWidth="1"/>
    <col min="11" max="11" width="14" customWidth="1"/>
    <col min="12" max="17" width="12" customWidth="1"/>
  </cols>
  <sheetData>
    <row r="1" spans="1:17" ht="40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29.25" customHeight="1">
      <c r="A4" s="26" t="s">
        <v>2</v>
      </c>
      <c r="B4" s="26"/>
      <c r="C4" s="26" t="s">
        <v>3</v>
      </c>
      <c r="D4" s="26"/>
      <c r="E4" s="26" t="s">
        <v>4</v>
      </c>
      <c r="F4" s="26"/>
      <c r="G4" s="26" t="s">
        <v>5</v>
      </c>
      <c r="H4" s="26"/>
      <c r="I4" s="17"/>
      <c r="J4" s="1" t="s">
        <v>6</v>
      </c>
      <c r="K4" s="1" t="s">
        <v>7</v>
      </c>
      <c r="L4" s="17"/>
      <c r="M4" s="17"/>
      <c r="N4" s="17"/>
      <c r="O4" s="17"/>
      <c r="P4" s="17"/>
      <c r="Q4" s="17"/>
    </row>
    <row r="5" spans="1:17" ht="34.75" customHeight="1">
      <c r="A5" s="27">
        <f>COUNTA(Checklist_GDPR!$D$7:$D$156)</f>
        <v>150</v>
      </c>
      <c r="B5" s="27"/>
      <c r="C5" s="27">
        <f>COUNTIF(Checklist_GDPR!$E$7:$E$156,"OK")</f>
        <v>13</v>
      </c>
      <c r="D5" s="27"/>
      <c r="E5" s="27">
        <f>COUNTIF(Checklist_GDPR!$E$7:$E$156,"KO")</f>
        <v>2</v>
      </c>
      <c r="F5" s="27"/>
      <c r="G5" s="28">
        <f>IF((C5+E5)=0,0,C5/(C5+E5))</f>
        <v>0.8666666666666667</v>
      </c>
      <c r="H5" s="28"/>
      <c r="I5" s="17"/>
      <c r="J5" s="17" t="s">
        <v>3</v>
      </c>
      <c r="K5" s="17">
        <f>COUNTIF(Checklist_GDPR!$E$7:$E$156,"OK")</f>
        <v>13</v>
      </c>
      <c r="L5" s="17"/>
      <c r="M5" s="17"/>
      <c r="N5" s="17"/>
      <c r="O5" s="17"/>
      <c r="P5" s="17"/>
      <c r="Q5" s="17"/>
    </row>
    <row r="6" spans="1:17" ht="34.75" customHeight="1">
      <c r="A6" s="26" t="s">
        <v>8</v>
      </c>
      <c r="B6" s="26"/>
      <c r="C6" s="26" t="s">
        <v>9</v>
      </c>
      <c r="D6" s="26"/>
      <c r="E6" s="26" t="s">
        <v>10</v>
      </c>
      <c r="F6" s="26"/>
      <c r="G6" s="26" t="s">
        <v>11</v>
      </c>
      <c r="H6" s="26"/>
      <c r="I6" s="17"/>
      <c r="J6" s="17" t="s">
        <v>4</v>
      </c>
      <c r="K6" s="17">
        <f>COUNTIF(Checklist_GDPR!$E$7:$E$156,"KO")</f>
        <v>2</v>
      </c>
      <c r="L6" s="17"/>
      <c r="M6" s="17"/>
      <c r="N6" s="17"/>
      <c r="O6" s="17"/>
      <c r="P6" s="17"/>
      <c r="Q6" s="17"/>
    </row>
    <row r="7" spans="1:17" ht="34.75" customHeight="1">
      <c r="A7" s="27">
        <f>A5-C5-E5-COUNTIF(Checklist_GDPR!$E$7:$E$156,"Non applicabile")</f>
        <v>133</v>
      </c>
      <c r="B7" s="27"/>
      <c r="C7" s="27">
        <f>COUNTIF(Azioni!$D$5:$D$124,"?*")</f>
        <v>1</v>
      </c>
      <c r="D7" s="27"/>
      <c r="E7" s="27">
        <f>COUNTIF(Azioni!$G$5:$G$124,"Completata")</f>
        <v>0</v>
      </c>
      <c r="F7" s="27"/>
      <c r="G7" s="27">
        <f ca="1">COUNTIF(Azioni!$L$5:$L$124,"Sì")</f>
        <v>1</v>
      </c>
      <c r="H7" s="27"/>
      <c r="I7" s="17"/>
      <c r="J7" s="17" t="s">
        <v>12</v>
      </c>
      <c r="K7" s="17">
        <f>COUNTIF(Checklist_GDPR!$E$7:$E$156,"Non applicabile")</f>
        <v>2</v>
      </c>
      <c r="L7" s="17"/>
      <c r="M7" s="17"/>
      <c r="N7" s="17"/>
      <c r="O7" s="17"/>
      <c r="P7" s="17"/>
      <c r="Q7" s="17"/>
    </row>
    <row r="8" spans="1:17">
      <c r="A8" s="17"/>
      <c r="B8" s="17"/>
      <c r="C8" s="17"/>
      <c r="D8" s="17"/>
      <c r="E8" s="17"/>
      <c r="F8" s="17"/>
      <c r="G8" s="17"/>
      <c r="H8" s="17"/>
      <c r="I8" s="17"/>
      <c r="J8" s="17" t="s">
        <v>8</v>
      </c>
      <c r="K8" s="17">
        <f>A5-C5-E5-COUNTIF(Checklist_GDPR!$E$7:$E$156,"Non applicabile")</f>
        <v>133</v>
      </c>
      <c r="L8" s="17"/>
      <c r="M8" s="17"/>
      <c r="N8" s="17"/>
      <c r="O8" s="17"/>
      <c r="P8" s="17"/>
      <c r="Q8" s="17"/>
    </row>
    <row r="9" spans="1:17">
      <c r="A9" s="29" t="s">
        <v>13</v>
      </c>
      <c r="B9" s="24"/>
      <c r="C9" s="24"/>
      <c r="D9" s="24"/>
      <c r="E9" s="24"/>
      <c r="F9" s="24"/>
      <c r="G9" s="24"/>
      <c r="H9" s="24"/>
      <c r="I9" s="17"/>
      <c r="J9" s="17"/>
      <c r="K9" s="17"/>
      <c r="L9" s="17"/>
      <c r="M9" s="17"/>
      <c r="N9" s="17"/>
      <c r="O9" s="17"/>
      <c r="P9" s="17"/>
      <c r="Q9" s="17"/>
    </row>
    <row r="10" spans="1:17" ht="15">
      <c r="A10" s="2" t="s">
        <v>14</v>
      </c>
      <c r="B10" s="18" t="str">
        <f>IF((C5+E5)=0,"Da avviare",IF(G5&gt;=0.9,"Adeguato",IF(G5&gt;=0.7,"Attenzione","Critico")))</f>
        <v>Attenzione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ht="45">
      <c r="A11" s="2" t="s">
        <v>15</v>
      </c>
      <c r="B11" s="18" t="str">
        <f>IF(E5&gt;0,"Aprire remediation per ogni KO","Mantenere evidenze aggiornate")</f>
        <v>Aprire remediation per ogni KO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5">
      <c r="A12" s="2" t="s">
        <v>16</v>
      </c>
      <c r="B12" s="19">
        <f>IF(C7=0,0,E7/C7)</f>
        <v>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>
      <c r="A13" s="29" t="s">
        <v>17</v>
      </c>
      <c r="B13" s="24"/>
      <c r="C13" s="24"/>
      <c r="D13" s="24"/>
      <c r="E13" s="24"/>
      <c r="F13" s="24"/>
      <c r="G13" s="24"/>
      <c r="H13" s="24"/>
      <c r="I13" s="17"/>
      <c r="J13" s="17"/>
      <c r="K13" s="17"/>
      <c r="L13" s="17"/>
      <c r="M13" s="17"/>
      <c r="N13" s="17"/>
      <c r="O13" s="17"/>
      <c r="P13" s="17"/>
      <c r="Q13" s="17"/>
    </row>
    <row r="14" spans="1:1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30.75" customHeight="1">
      <c r="A15" s="1" t="s">
        <v>18</v>
      </c>
      <c r="B15" s="13">
        <f>COUNTIF(Checklist_GDPR!$B$7:$B$156,A15)</f>
        <v>12</v>
      </c>
      <c r="C15" s="13">
        <f>COUNTIFS(Checklist_GDPR!$B$7:$B$156,A15,Checklist_GDPR!$E$7:$E$156,"OK")</f>
        <v>3</v>
      </c>
      <c r="D15" s="13">
        <f>COUNTIFS(Checklist_GDPR!$B$7:$B$156,A15,Checklist_GDPR!$E$7:$E$156,"KO")</f>
        <v>0</v>
      </c>
      <c r="E15" s="13">
        <f>COUNTIFS(Checklist_GDPR!$B$7:$B$156,A15,Checklist_GDPR!$E$7:$E$156,"Non applicabile")</f>
        <v>1</v>
      </c>
      <c r="F15" s="13">
        <f t="shared" ref="F15:F28" si="0">B15-C15-D15-E15</f>
        <v>8</v>
      </c>
      <c r="G15" s="15">
        <f t="shared" ref="G15:G29" si="1">IF((C15+D15)=0,0,C15/(C15+D15))</f>
        <v>1</v>
      </c>
      <c r="H15" s="1" t="str">
        <f t="shared" ref="H15:H29" si="2">IF((C15+D15)=0,"Da valutare",IF(G15&gt;=0.9,"Adeguato",IF(G15&gt;=0.7,"Attenzione","Critico")))</f>
        <v>Adeguato</v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30.75" customHeight="1">
      <c r="A16" s="20" t="s">
        <v>19</v>
      </c>
      <c r="B16" s="21">
        <f>COUNTIF(Checklist_GDPR!$B$7:$B$156,A16)</f>
        <v>10</v>
      </c>
      <c r="C16" s="21">
        <f>COUNTIFS(Checklist_GDPR!$B$7:$B$156,A16,Checklist_GDPR!$E$7:$E$156,"OK")</f>
        <v>0</v>
      </c>
      <c r="D16" s="21">
        <f>COUNTIFS(Checklist_GDPR!$B$7:$B$156,A16,Checklist_GDPR!$E$7:$E$156,"KO")</f>
        <v>0</v>
      </c>
      <c r="E16" s="21">
        <f>COUNTIFS(Checklist_GDPR!$B$7:$B$156,A16,Checklist_GDPR!$E$7:$E$156,"Non applicabile")</f>
        <v>0</v>
      </c>
      <c r="F16" s="21">
        <f t="shared" si="0"/>
        <v>10</v>
      </c>
      <c r="G16" s="22">
        <f t="shared" si="1"/>
        <v>0</v>
      </c>
      <c r="H16" s="17" t="str">
        <f t="shared" si="2"/>
        <v>Da valutare</v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ht="30.75" customHeight="1">
      <c r="A17" s="20" t="s">
        <v>20</v>
      </c>
      <c r="B17" s="21">
        <f>COUNTIF(Checklist_GDPR!$B$7:$B$156,A17)</f>
        <v>14</v>
      </c>
      <c r="C17" s="21">
        <f>COUNTIFS(Checklist_GDPR!$B$7:$B$156,A17,Checklist_GDPR!$E$7:$E$156,"OK")</f>
        <v>3</v>
      </c>
      <c r="D17" s="21">
        <f>COUNTIFS(Checklist_GDPR!$B$7:$B$156,A17,Checklist_GDPR!$E$7:$E$156,"KO")</f>
        <v>2</v>
      </c>
      <c r="E17" s="21">
        <f>COUNTIFS(Checklist_GDPR!$B$7:$B$156,A17,Checklist_GDPR!$E$7:$E$156,"Non applicabile")</f>
        <v>1</v>
      </c>
      <c r="F17" s="21">
        <f t="shared" si="0"/>
        <v>8</v>
      </c>
      <c r="G17" s="22">
        <f t="shared" si="1"/>
        <v>0.6</v>
      </c>
      <c r="H17" s="17" t="str">
        <f t="shared" si="2"/>
        <v>Critico</v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30.75" customHeight="1">
      <c r="A18" s="20" t="s">
        <v>21</v>
      </c>
      <c r="B18" s="21">
        <f>COUNTIF(Checklist_GDPR!$B$7:$B$156,A18)</f>
        <v>14</v>
      </c>
      <c r="C18" s="21">
        <f>COUNTIFS(Checklist_GDPR!$B$7:$B$156,A18,Checklist_GDPR!$E$7:$E$156,"OK")</f>
        <v>0</v>
      </c>
      <c r="D18" s="21">
        <f>COUNTIFS(Checklist_GDPR!$B$7:$B$156,A18,Checklist_GDPR!$E$7:$E$156,"KO")</f>
        <v>0</v>
      </c>
      <c r="E18" s="21">
        <f>COUNTIFS(Checklist_GDPR!$B$7:$B$156,A18,Checklist_GDPR!$E$7:$E$156,"Non applicabile")</f>
        <v>0</v>
      </c>
      <c r="F18" s="21">
        <f t="shared" si="0"/>
        <v>14</v>
      </c>
      <c r="G18" s="22">
        <f t="shared" si="1"/>
        <v>0</v>
      </c>
      <c r="H18" s="17" t="str">
        <f t="shared" si="2"/>
        <v>Da valutare</v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ht="30.75" customHeight="1">
      <c r="A19" s="20" t="s">
        <v>22</v>
      </c>
      <c r="B19" s="21">
        <f>COUNTIF(Checklist_GDPR!$B$7:$B$156,A19)</f>
        <v>8</v>
      </c>
      <c r="C19" s="21">
        <f>COUNTIFS(Checklist_GDPR!$B$7:$B$156,A19,Checklist_GDPR!$E$7:$E$156,"OK")</f>
        <v>0</v>
      </c>
      <c r="D19" s="21">
        <f>COUNTIFS(Checklist_GDPR!$B$7:$B$156,A19,Checklist_GDPR!$E$7:$E$156,"KO")</f>
        <v>0</v>
      </c>
      <c r="E19" s="21">
        <f>COUNTIFS(Checklist_GDPR!$B$7:$B$156,A19,Checklist_GDPR!$E$7:$E$156,"Non applicabile")</f>
        <v>0</v>
      </c>
      <c r="F19" s="21">
        <f t="shared" si="0"/>
        <v>8</v>
      </c>
      <c r="G19" s="22">
        <f t="shared" si="1"/>
        <v>0</v>
      </c>
      <c r="H19" s="17" t="str">
        <f t="shared" si="2"/>
        <v>Da valutare</v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30.75" customHeight="1">
      <c r="A20" s="20" t="s">
        <v>23</v>
      </c>
      <c r="B20" s="21">
        <f>COUNTIF(Checklist_GDPR!$B$7:$B$156,A20)</f>
        <v>20</v>
      </c>
      <c r="C20" s="21">
        <f>COUNTIFS(Checklist_GDPR!$B$7:$B$156,A20,Checklist_GDPR!$E$7:$E$156,"OK")</f>
        <v>0</v>
      </c>
      <c r="D20" s="21">
        <f>COUNTIFS(Checklist_GDPR!$B$7:$B$156,A20,Checklist_GDPR!$E$7:$E$156,"KO")</f>
        <v>0</v>
      </c>
      <c r="E20" s="21">
        <f>COUNTIFS(Checklist_GDPR!$B$7:$B$156,A20,Checklist_GDPR!$E$7:$E$156,"Non applicabile")</f>
        <v>0</v>
      </c>
      <c r="F20" s="21">
        <f t="shared" si="0"/>
        <v>20</v>
      </c>
      <c r="G20" s="22">
        <f t="shared" si="1"/>
        <v>0</v>
      </c>
      <c r="H20" s="17" t="str">
        <f t="shared" si="2"/>
        <v>Da valutare</v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30.75" customHeight="1">
      <c r="A21" s="20" t="s">
        <v>24</v>
      </c>
      <c r="B21" s="21">
        <f>COUNTIF(Checklist_GDPR!$B$7:$B$156,A21)</f>
        <v>10</v>
      </c>
      <c r="C21" s="21">
        <f>COUNTIFS(Checklist_GDPR!$B$7:$B$156,A21,Checklist_GDPR!$E$7:$E$156,"OK")</f>
        <v>7</v>
      </c>
      <c r="D21" s="21">
        <f>COUNTIFS(Checklist_GDPR!$B$7:$B$156,A21,Checklist_GDPR!$E$7:$E$156,"KO")</f>
        <v>0</v>
      </c>
      <c r="E21" s="21">
        <f>COUNTIFS(Checklist_GDPR!$B$7:$B$156,A21,Checklist_GDPR!$E$7:$E$156,"Non applicabile")</f>
        <v>0</v>
      </c>
      <c r="F21" s="21">
        <f t="shared" si="0"/>
        <v>3</v>
      </c>
      <c r="G21" s="22">
        <f t="shared" si="1"/>
        <v>1</v>
      </c>
      <c r="H21" s="17" t="str">
        <f t="shared" si="2"/>
        <v>Adeguato</v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ht="30.75" customHeight="1">
      <c r="A22" s="20" t="s">
        <v>25</v>
      </c>
      <c r="B22" s="21">
        <f>COUNTIF(Checklist_GDPR!$B$7:$B$156,A22)</f>
        <v>6</v>
      </c>
      <c r="C22" s="21">
        <f>COUNTIFS(Checklist_GDPR!$B$7:$B$156,A22,Checklist_GDPR!$E$7:$E$156,"OK")</f>
        <v>0</v>
      </c>
      <c r="D22" s="21">
        <f>COUNTIFS(Checklist_GDPR!$B$7:$B$156,A22,Checklist_GDPR!$E$7:$E$156,"KO")</f>
        <v>0</v>
      </c>
      <c r="E22" s="21">
        <f>COUNTIFS(Checklist_GDPR!$B$7:$B$156,A22,Checklist_GDPR!$E$7:$E$156,"Non applicabile")</f>
        <v>0</v>
      </c>
      <c r="F22" s="21">
        <f t="shared" si="0"/>
        <v>6</v>
      </c>
      <c r="G22" s="22">
        <f t="shared" si="1"/>
        <v>0</v>
      </c>
      <c r="H22" s="17" t="str">
        <f t="shared" si="2"/>
        <v>Da valutare</v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30.75" customHeight="1">
      <c r="A23" s="20" t="s">
        <v>26</v>
      </c>
      <c r="B23" s="21">
        <f>COUNTIF(Checklist_GDPR!$B$7:$B$156,A23)</f>
        <v>6</v>
      </c>
      <c r="C23" s="21">
        <f>COUNTIFS(Checklist_GDPR!$B$7:$B$156,A23,Checklist_GDPR!$E$7:$E$156,"OK")</f>
        <v>0</v>
      </c>
      <c r="D23" s="21">
        <f>COUNTIFS(Checklist_GDPR!$B$7:$B$156,A23,Checklist_GDPR!$E$7:$E$156,"KO")</f>
        <v>0</v>
      </c>
      <c r="E23" s="21">
        <f>COUNTIFS(Checklist_GDPR!$B$7:$B$156,A23,Checklist_GDPR!$E$7:$E$156,"Non applicabile")</f>
        <v>0</v>
      </c>
      <c r="F23" s="21">
        <f t="shared" si="0"/>
        <v>6</v>
      </c>
      <c r="G23" s="22">
        <f t="shared" si="1"/>
        <v>0</v>
      </c>
      <c r="H23" s="17" t="str">
        <f t="shared" si="2"/>
        <v>Da valutare</v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ht="30.75" customHeight="1">
      <c r="A24" s="20" t="s">
        <v>27</v>
      </c>
      <c r="B24" s="21">
        <f>COUNTIF(Checklist_GDPR!$B$7:$B$156,A24)</f>
        <v>10</v>
      </c>
      <c r="C24" s="21">
        <f>COUNTIFS(Checklist_GDPR!$B$7:$B$156,A24,Checklist_GDPR!$E$7:$E$156,"OK")</f>
        <v>0</v>
      </c>
      <c r="D24" s="21">
        <f>COUNTIFS(Checklist_GDPR!$B$7:$B$156,A24,Checklist_GDPR!$E$7:$E$156,"KO")</f>
        <v>0</v>
      </c>
      <c r="E24" s="21">
        <f>COUNTIFS(Checklist_GDPR!$B$7:$B$156,A24,Checklist_GDPR!$E$7:$E$156,"Non applicabile")</f>
        <v>0</v>
      </c>
      <c r="F24" s="21">
        <f t="shared" si="0"/>
        <v>10</v>
      </c>
      <c r="G24" s="22">
        <f t="shared" si="1"/>
        <v>0</v>
      </c>
      <c r="H24" s="17" t="str">
        <f t="shared" si="2"/>
        <v>Da valutare</v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ht="30.75" customHeight="1">
      <c r="A25" s="20" t="s">
        <v>28</v>
      </c>
      <c r="B25" s="21">
        <f>COUNTIF(Checklist_GDPR!$B$7:$B$156,A25)</f>
        <v>7</v>
      </c>
      <c r="C25" s="21">
        <f>COUNTIFS(Checklist_GDPR!$B$7:$B$156,A25,Checklist_GDPR!$E$7:$E$156,"OK")</f>
        <v>0</v>
      </c>
      <c r="D25" s="21">
        <f>COUNTIFS(Checklist_GDPR!$B$7:$B$156,A25,Checklist_GDPR!$E$7:$E$156,"KO")</f>
        <v>0</v>
      </c>
      <c r="E25" s="21">
        <f>COUNTIFS(Checklist_GDPR!$B$7:$B$156,A25,Checklist_GDPR!$E$7:$E$156,"Non applicabile")</f>
        <v>0</v>
      </c>
      <c r="F25" s="21">
        <f t="shared" si="0"/>
        <v>7</v>
      </c>
      <c r="G25" s="22">
        <f t="shared" si="1"/>
        <v>0</v>
      </c>
      <c r="H25" s="17" t="str">
        <f t="shared" si="2"/>
        <v>Da valutare</v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ht="30.75" customHeight="1">
      <c r="A26" s="20" t="s">
        <v>29</v>
      </c>
      <c r="B26" s="21">
        <f>COUNTIF(Checklist_GDPR!$B$7:$B$156,A26)</f>
        <v>10</v>
      </c>
      <c r="C26" s="21">
        <f>COUNTIFS(Checklist_GDPR!$B$7:$B$156,A26,Checklist_GDPR!$E$7:$E$156,"OK")</f>
        <v>0</v>
      </c>
      <c r="D26" s="21">
        <f>COUNTIFS(Checklist_GDPR!$B$7:$B$156,A26,Checklist_GDPR!$E$7:$E$156,"KO")</f>
        <v>0</v>
      </c>
      <c r="E26" s="21">
        <f>COUNTIFS(Checklist_GDPR!$B$7:$B$156,A26,Checklist_GDPR!$E$7:$E$156,"Non applicabile")</f>
        <v>0</v>
      </c>
      <c r="F26" s="21">
        <f t="shared" si="0"/>
        <v>10</v>
      </c>
      <c r="G26" s="22">
        <f t="shared" si="1"/>
        <v>0</v>
      </c>
      <c r="H26" s="17" t="str">
        <f t="shared" si="2"/>
        <v>Da valutare</v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ht="30.75" customHeight="1">
      <c r="A27" s="20" t="s">
        <v>30</v>
      </c>
      <c r="B27" s="21">
        <f>COUNTIF(Checklist_GDPR!$B$7:$B$156,A27)</f>
        <v>11</v>
      </c>
      <c r="C27" s="21">
        <f>COUNTIFS(Checklist_GDPR!$B$7:$B$156,A27,Checklist_GDPR!$E$7:$E$156,"OK")</f>
        <v>0</v>
      </c>
      <c r="D27" s="21">
        <f>COUNTIFS(Checklist_GDPR!$B$7:$B$156,A27,Checklist_GDPR!$E$7:$E$156,"KO")</f>
        <v>0</v>
      </c>
      <c r="E27" s="21">
        <f>COUNTIFS(Checklist_GDPR!$B$7:$B$156,A27,Checklist_GDPR!$E$7:$E$156,"Non applicabile")</f>
        <v>0</v>
      </c>
      <c r="F27" s="21">
        <f t="shared" si="0"/>
        <v>11</v>
      </c>
      <c r="G27" s="22">
        <f t="shared" si="1"/>
        <v>0</v>
      </c>
      <c r="H27" s="17" t="str">
        <f t="shared" si="2"/>
        <v>Da valutare</v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ht="30.75" customHeight="1">
      <c r="A28" s="20" t="s">
        <v>31</v>
      </c>
      <c r="B28" s="21">
        <f>COUNTIF(Checklist_GDPR!$B$7:$B$156,A28)</f>
        <v>12</v>
      </c>
      <c r="C28" s="21">
        <f>COUNTIFS(Checklist_GDPR!$B$7:$B$156,A28,Checklist_GDPR!$E$7:$E$156,"OK")</f>
        <v>0</v>
      </c>
      <c r="D28" s="21">
        <f>COUNTIFS(Checklist_GDPR!$B$7:$B$156,A28,Checklist_GDPR!$E$7:$E$156,"KO")</f>
        <v>0</v>
      </c>
      <c r="E28" s="21">
        <f>COUNTIFS(Checklist_GDPR!$B$7:$B$156,A28,Checklist_GDPR!$E$7:$E$156,"Non applicabile")</f>
        <v>0</v>
      </c>
      <c r="F28" s="21">
        <f t="shared" si="0"/>
        <v>12</v>
      </c>
      <c r="G28" s="22">
        <f t="shared" si="1"/>
        <v>0</v>
      </c>
      <c r="H28" s="17" t="str">
        <f t="shared" si="2"/>
        <v>Da valutare</v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ht="30.75" customHeight="1">
      <c r="A29" s="2" t="s">
        <v>32</v>
      </c>
      <c r="B29" s="14">
        <f>SUM(B15:B28)</f>
        <v>150</v>
      </c>
      <c r="C29" s="14">
        <f>SUM(C15:C28)</f>
        <v>13</v>
      </c>
      <c r="D29" s="14">
        <f>SUM(D15:D28)</f>
        <v>2</v>
      </c>
      <c r="E29" s="14">
        <f>SUM(E15:E28)</f>
        <v>2</v>
      </c>
      <c r="F29" s="14">
        <f>SUM(F15:F28)</f>
        <v>133</v>
      </c>
      <c r="G29" s="16">
        <f t="shared" si="1"/>
        <v>0.8666666666666667</v>
      </c>
      <c r="H29" s="2" t="str">
        <f t="shared" si="2"/>
        <v>Attenzione</v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>
      <c r="A31" s="29" t="s">
        <v>33</v>
      </c>
      <c r="B31" s="24"/>
      <c r="C31" s="24"/>
      <c r="D31" s="24"/>
      <c r="E31" s="24"/>
      <c r="F31" s="24"/>
      <c r="G31" s="24"/>
      <c r="H31" s="24"/>
      <c r="I31" s="17"/>
      <c r="J31" s="17"/>
      <c r="K31" s="17"/>
      <c r="L31" s="17"/>
      <c r="M31" s="17"/>
      <c r="N31" s="17"/>
      <c r="O31" s="17"/>
      <c r="P31" s="17"/>
      <c r="Q31" s="17"/>
    </row>
    <row r="32" spans="1:17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1:17" ht="29.25" customHeight="1">
      <c r="A33" s="1" t="s">
        <v>34</v>
      </c>
      <c r="B33" s="1">
        <f>COUNTIF(Azioni!$G$5:$G$124,A33)</f>
        <v>0</v>
      </c>
      <c r="C33" s="15">
        <f>IF($C$7=0,0,B33/$C$7)</f>
        <v>0</v>
      </c>
      <c r="D33" s="1" t="s">
        <v>35</v>
      </c>
      <c r="E33" s="1"/>
      <c r="F33" s="1"/>
      <c r="G33" s="1"/>
      <c r="H33" s="1"/>
      <c r="I33" s="17"/>
      <c r="J33" s="17"/>
      <c r="K33" s="17"/>
      <c r="L33" s="17"/>
      <c r="M33" s="17"/>
      <c r="N33" s="17"/>
      <c r="O33" s="17"/>
      <c r="P33" s="17"/>
      <c r="Q33" s="17"/>
    </row>
    <row r="34" spans="1:17" ht="30">
      <c r="A34" s="17" t="s">
        <v>36</v>
      </c>
      <c r="B34" s="17">
        <f>COUNTIF(Azioni!$G$5:$G$124,A34)</f>
        <v>1</v>
      </c>
      <c r="C34" s="22">
        <f>IF($C$7=0,0,B34/$C$7)</f>
        <v>1</v>
      </c>
      <c r="D34" s="20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 ht="30">
      <c r="A35" s="17" t="s">
        <v>38</v>
      </c>
      <c r="B35" s="17">
        <f>COUNTIF(Azioni!$G$5:$G$124,A35)</f>
        <v>0</v>
      </c>
      <c r="C35" s="22">
        <f>IF($C$7=0,0,B35/$C$7)</f>
        <v>0</v>
      </c>
      <c r="D35" s="20" t="s">
        <v>39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1:17" ht="30">
      <c r="A36" s="17" t="s">
        <v>40</v>
      </c>
      <c r="B36" s="17">
        <f>COUNTIF(Azioni!$G$5:$G$124,A36)</f>
        <v>0</v>
      </c>
      <c r="C36" s="22">
        <f>IF($C$7=0,0,B36/$C$7)</f>
        <v>0</v>
      </c>
      <c r="D36" s="20" t="s">
        <v>41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spans="1:17" ht="45">
      <c r="A37" s="17" t="s">
        <v>42</v>
      </c>
      <c r="B37" s="17">
        <f ca="1">COUNTIF(Azioni!$L$5:$L$124,"Sì")</f>
        <v>1</v>
      </c>
      <c r="C37" s="22">
        <f ca="1">IF($C$7=0,0,B37/$C$7)</f>
        <v>1</v>
      </c>
      <c r="D37" s="20" t="s">
        <v>43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</sheetData>
  <mergeCells count="21">
    <mergeCell ref="A13:H13"/>
    <mergeCell ref="A31:H31"/>
    <mergeCell ref="A7:B7"/>
    <mergeCell ref="C7:D7"/>
    <mergeCell ref="E7:F7"/>
    <mergeCell ref="G7:H7"/>
    <mergeCell ref="A9:H9"/>
    <mergeCell ref="A6:B6"/>
    <mergeCell ref="C6:D6"/>
    <mergeCell ref="E6:F6"/>
    <mergeCell ref="G6:H6"/>
    <mergeCell ref="A5:B5"/>
    <mergeCell ref="C5:D5"/>
    <mergeCell ref="E5:F5"/>
    <mergeCell ref="G5:H5"/>
    <mergeCell ref="A1:Q1"/>
    <mergeCell ref="A2:Q2"/>
    <mergeCell ref="A4:B4"/>
    <mergeCell ref="C4:D4"/>
    <mergeCell ref="E4:F4"/>
    <mergeCell ref="G4:H4"/>
  </mergeCells>
  <conditionalFormatting sqref="C33:C37">
    <cfRule type="dataBar" priority="5">
      <dataBar>
        <cfvo type="min"/>
        <cfvo type="max"/>
        <color rgb="FF1D4ED8"/>
      </dataBar>
    </cfRule>
    <cfRule type="dataBar" priority="12">
      <dataBar>
        <cfvo type="min"/>
        <cfvo type="max"/>
        <color rgb="FF1D4ED8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</conditionalFormatting>
  <conditionalFormatting sqref="E5:F5">
    <cfRule type="cellIs" dxfId="24" priority="9" operator="greaterThan">
      <formula>0</formula>
    </cfRule>
  </conditionalFormatting>
  <conditionalFormatting sqref="G15:G29">
    <cfRule type="dataBar" priority="1">
      <dataBar>
        <cfvo type="min"/>
        <cfvo type="max"/>
        <color rgb="FF0F766E"/>
      </dataBar>
    </cfRule>
    <cfRule type="dataBar" priority="11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G5:H5">
    <cfRule type="cellIs" dxfId="23" priority="6" operator="greaterThanOrEqual">
      <formula>0.9</formula>
    </cfRule>
    <cfRule type="cellIs" dxfId="22" priority="7" operator="between">
      <formula>0.7</formula>
    </cfRule>
    <cfRule type="cellIs" dxfId="21" priority="8" operator="lessThan">
      <formula>0.7</formula>
    </cfRule>
  </conditionalFormatting>
  <conditionalFormatting sqref="G7:H7">
    <cfRule type="cellIs" dxfId="20" priority="10" operator="greaterThan">
      <formula>0</formula>
    </cfRule>
  </conditionalFormatting>
  <conditionalFormatting sqref="H15:H29">
    <cfRule type="expression" dxfId="19" priority="2">
      <formula>H15="Critico"</formula>
    </cfRule>
    <cfRule type="expression" dxfId="18" priority="3">
      <formula>H15="Attenzione"</formula>
    </cfRule>
    <cfRule type="expression" dxfId="17" priority="4">
      <formula>H15="Adeguato"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593AA7-0028-5BEA-E3E0-8178783C1A47}">
            <x14:dataBar>
              <x14:cfvo type="min"/>
              <x14:cfvo type="max"/>
              <x14:negativeFillColor auto="1"/>
              <x14:axisColor auto="1"/>
            </x14:dataBar>
          </x14:cfRule>
          <xm:sqref>C33:C37</xm:sqref>
        </x14:conditionalFormatting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G15:G29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6"/>
  <sheetViews>
    <sheetView topLeftCell="A97" workbookViewId="0">
      <selection activeCell="A97" sqref="A1:XFD1048576"/>
    </sheetView>
  </sheetViews>
  <sheetFormatPr baseColWidth="10" defaultColWidth="8.83203125" defaultRowHeight="14"/>
  <cols>
    <col min="1" max="1" width="12" customWidth="1"/>
    <col min="2" max="2" width="42" customWidth="1"/>
    <col min="3" max="3" width="32" customWidth="1"/>
    <col min="4" max="4" width="56" customWidth="1"/>
    <col min="5" max="5" width="18" customWidth="1"/>
    <col min="6" max="6" width="20" customWidth="1"/>
    <col min="7" max="7" width="13" customWidth="1"/>
    <col min="8" max="8" width="14" customWidth="1"/>
    <col min="9" max="9" width="18" customWidth="1"/>
    <col min="10" max="10" width="35" customWidth="1"/>
    <col min="11" max="11" width="38" customWidth="1"/>
    <col min="12" max="12" width="12" customWidth="1"/>
    <col min="13" max="13" width="18" customWidth="1"/>
    <col min="14" max="14" width="38" customWidth="1"/>
  </cols>
  <sheetData>
    <row r="1" spans="1:14" ht="40" customHeight="1">
      <c r="A1" s="23" t="s">
        <v>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45">
      <c r="A2" s="2" t="s">
        <v>45</v>
      </c>
      <c r="B2" s="7" t="s">
        <v>46</v>
      </c>
    </row>
    <row r="3" spans="1:14" ht="30">
      <c r="A3" s="2" t="s">
        <v>47</v>
      </c>
      <c r="B3" s="7" t="s">
        <v>48</v>
      </c>
    </row>
    <row r="4" spans="1:14" ht="45">
      <c r="A4" s="2" t="s">
        <v>49</v>
      </c>
      <c r="B4" s="8">
        <f ca="1">TODAY()</f>
        <v>46150</v>
      </c>
    </row>
    <row r="6" spans="1:14" ht="29.25" customHeight="1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62</v>
      </c>
      <c r="N6" s="1" t="s">
        <v>63</v>
      </c>
    </row>
    <row r="7" spans="1:14" ht="15">
      <c r="A7" s="6" t="s">
        <v>64</v>
      </c>
      <c r="B7" s="6" t="s">
        <v>18</v>
      </c>
      <c r="C7" s="6" t="s">
        <v>65</v>
      </c>
      <c r="D7" s="6" t="s">
        <v>66</v>
      </c>
      <c r="E7" s="6" t="s">
        <v>3</v>
      </c>
      <c r="F7" s="6"/>
      <c r="G7" s="6" t="s">
        <v>414</v>
      </c>
      <c r="H7" s="9"/>
      <c r="I7" s="6" t="s">
        <v>437</v>
      </c>
      <c r="J7" s="6"/>
      <c r="K7" s="6"/>
      <c r="L7" s="10">
        <f t="shared" ref="L7:L38" si="0">IF(E7="OK",1,IF(E7="KO",0,""))</f>
        <v>1</v>
      </c>
      <c r="M7" s="6" t="str">
        <f t="shared" ref="M7:M38" si="1">IF(E7="OK","Conforme",IF(E7="KO","Non conforme",IF(E7="Non applicabile","N/A","Da compilare")))</f>
        <v>Conforme</v>
      </c>
      <c r="N7" s="6" t="str">
        <f t="shared" ref="N7:N38" si="2">IF(E7="KO","Aprire azione correttiva in sheet Azioni",IF(E7="OK","Archiviare evidenza",IF(E7="Non applicabile","Motivare N/A nelle note","Selezionare stato")))</f>
        <v>Archiviare evidenza</v>
      </c>
    </row>
    <row r="8" spans="1:14" ht="15">
      <c r="A8" s="6" t="s">
        <v>68</v>
      </c>
      <c r="B8" s="6" t="s">
        <v>18</v>
      </c>
      <c r="C8" s="6" t="s">
        <v>65</v>
      </c>
      <c r="D8" s="6" t="s">
        <v>69</v>
      </c>
      <c r="E8" s="6" t="s">
        <v>3</v>
      </c>
      <c r="F8" s="6"/>
      <c r="G8" s="6" t="s">
        <v>67</v>
      </c>
      <c r="H8" s="9"/>
      <c r="I8" s="6"/>
      <c r="J8" s="6"/>
      <c r="K8" s="6"/>
      <c r="L8" s="10">
        <f t="shared" si="0"/>
        <v>1</v>
      </c>
      <c r="M8" s="6" t="str">
        <f t="shared" si="1"/>
        <v>Conforme</v>
      </c>
      <c r="N8" s="6" t="str">
        <f t="shared" si="2"/>
        <v>Archiviare evidenza</v>
      </c>
    </row>
    <row r="9" spans="1:14" ht="15">
      <c r="A9" s="6" t="s">
        <v>70</v>
      </c>
      <c r="B9" s="6" t="s">
        <v>18</v>
      </c>
      <c r="C9" s="6" t="s">
        <v>65</v>
      </c>
      <c r="D9" s="6" t="s">
        <v>71</v>
      </c>
      <c r="E9" s="6" t="s">
        <v>12</v>
      </c>
      <c r="F9" s="6"/>
      <c r="G9" s="6" t="s">
        <v>67</v>
      </c>
      <c r="H9" s="9"/>
      <c r="I9" s="6"/>
      <c r="J9" s="6"/>
      <c r="K9" s="6"/>
      <c r="L9" s="10" t="str">
        <f t="shared" si="0"/>
        <v/>
      </c>
      <c r="M9" s="6" t="str">
        <f t="shared" si="1"/>
        <v>N/A</v>
      </c>
      <c r="N9" s="6" t="str">
        <f t="shared" si="2"/>
        <v>Motivare N/A nelle note</v>
      </c>
    </row>
    <row r="10" spans="1:14" ht="15">
      <c r="A10" s="6" t="s">
        <v>72</v>
      </c>
      <c r="B10" s="6" t="s">
        <v>18</v>
      </c>
      <c r="C10" s="6" t="s">
        <v>65</v>
      </c>
      <c r="D10" s="6" t="s">
        <v>73</v>
      </c>
      <c r="E10" s="6"/>
      <c r="F10" s="6"/>
      <c r="G10" s="6" t="s">
        <v>67</v>
      </c>
      <c r="H10" s="9"/>
      <c r="I10" s="6"/>
      <c r="J10" s="6"/>
      <c r="K10" s="6"/>
      <c r="L10" s="10" t="str">
        <f t="shared" si="0"/>
        <v/>
      </c>
      <c r="M10" s="6" t="str">
        <f t="shared" si="1"/>
        <v>Da compilare</v>
      </c>
      <c r="N10" s="6" t="str">
        <f t="shared" si="2"/>
        <v>Selezionare stato</v>
      </c>
    </row>
    <row r="11" spans="1:14" ht="15">
      <c r="A11" s="6" t="s">
        <v>74</v>
      </c>
      <c r="B11" s="6" t="s">
        <v>18</v>
      </c>
      <c r="C11" s="6" t="s">
        <v>65</v>
      </c>
      <c r="D11" s="6" t="s">
        <v>75</v>
      </c>
      <c r="E11" s="6"/>
      <c r="F11" s="6"/>
      <c r="G11" s="6" t="s">
        <v>67</v>
      </c>
      <c r="H11" s="9"/>
      <c r="I11" s="6"/>
      <c r="J11" s="6"/>
      <c r="K11" s="6"/>
      <c r="L11" s="10" t="str">
        <f t="shared" si="0"/>
        <v/>
      </c>
      <c r="M11" s="6" t="str">
        <f t="shared" si="1"/>
        <v>Da compilare</v>
      </c>
      <c r="N11" s="6" t="str">
        <f t="shared" si="2"/>
        <v>Selezionare stato</v>
      </c>
    </row>
    <row r="12" spans="1:14" ht="15">
      <c r="A12" s="6" t="s">
        <v>76</v>
      </c>
      <c r="B12" s="6" t="s">
        <v>18</v>
      </c>
      <c r="C12" s="6" t="s">
        <v>65</v>
      </c>
      <c r="D12" s="6" t="s">
        <v>77</v>
      </c>
      <c r="E12" s="6"/>
      <c r="F12" s="6"/>
      <c r="G12" s="6" t="s">
        <v>67</v>
      </c>
      <c r="H12" s="9"/>
      <c r="I12" s="6"/>
      <c r="J12" s="6"/>
      <c r="K12" s="6"/>
      <c r="L12" s="10" t="str">
        <f t="shared" si="0"/>
        <v/>
      </c>
      <c r="M12" s="6" t="str">
        <f t="shared" si="1"/>
        <v>Da compilare</v>
      </c>
      <c r="N12" s="6" t="str">
        <f t="shared" si="2"/>
        <v>Selezionare stato</v>
      </c>
    </row>
    <row r="13" spans="1:14" ht="15">
      <c r="A13" s="6" t="s">
        <v>78</v>
      </c>
      <c r="B13" s="6" t="s">
        <v>18</v>
      </c>
      <c r="C13" s="6" t="s">
        <v>65</v>
      </c>
      <c r="D13" s="6" t="s">
        <v>79</v>
      </c>
      <c r="E13" s="6"/>
      <c r="F13" s="6"/>
      <c r="G13" s="6" t="s">
        <v>67</v>
      </c>
      <c r="H13" s="9"/>
      <c r="I13" s="6"/>
      <c r="J13" s="6"/>
      <c r="K13" s="6"/>
      <c r="L13" s="10" t="str">
        <f t="shared" si="0"/>
        <v/>
      </c>
      <c r="M13" s="6" t="str">
        <f t="shared" si="1"/>
        <v>Da compilare</v>
      </c>
      <c r="N13" s="6" t="str">
        <f t="shared" si="2"/>
        <v>Selezionare stato</v>
      </c>
    </row>
    <row r="14" spans="1:14" ht="15">
      <c r="A14" s="6" t="s">
        <v>80</v>
      </c>
      <c r="B14" s="6" t="s">
        <v>18</v>
      </c>
      <c r="C14" s="6" t="s">
        <v>65</v>
      </c>
      <c r="D14" s="6" t="s">
        <v>81</v>
      </c>
      <c r="E14" s="6" t="s">
        <v>3</v>
      </c>
      <c r="F14" s="6"/>
      <c r="G14" s="6" t="s">
        <v>67</v>
      </c>
      <c r="H14" s="9"/>
      <c r="I14" s="6"/>
      <c r="J14" s="6"/>
      <c r="K14" s="6"/>
      <c r="L14" s="10">
        <f t="shared" si="0"/>
        <v>1</v>
      </c>
      <c r="M14" s="6" t="str">
        <f t="shared" si="1"/>
        <v>Conforme</v>
      </c>
      <c r="N14" s="6" t="str">
        <f t="shared" si="2"/>
        <v>Archiviare evidenza</v>
      </c>
    </row>
    <row r="15" spans="1:14" ht="15">
      <c r="A15" s="6" t="s">
        <v>82</v>
      </c>
      <c r="B15" s="6" t="s">
        <v>18</v>
      </c>
      <c r="C15" s="6" t="s">
        <v>65</v>
      </c>
      <c r="D15" s="6" t="s">
        <v>83</v>
      </c>
      <c r="E15" s="6"/>
      <c r="F15" s="6"/>
      <c r="G15" s="6" t="s">
        <v>67</v>
      </c>
      <c r="H15" s="9"/>
      <c r="I15" s="6"/>
      <c r="J15" s="6"/>
      <c r="K15" s="6"/>
      <c r="L15" s="10" t="str">
        <f t="shared" si="0"/>
        <v/>
      </c>
      <c r="M15" s="6" t="str">
        <f t="shared" si="1"/>
        <v>Da compilare</v>
      </c>
      <c r="N15" s="6" t="str">
        <f t="shared" si="2"/>
        <v>Selezionare stato</v>
      </c>
    </row>
    <row r="16" spans="1:14" ht="15">
      <c r="A16" s="6" t="s">
        <v>84</v>
      </c>
      <c r="B16" s="6" t="s">
        <v>18</v>
      </c>
      <c r="C16" s="6" t="s">
        <v>65</v>
      </c>
      <c r="D16" s="6" t="s">
        <v>85</v>
      </c>
      <c r="E16" s="6"/>
      <c r="F16" s="6"/>
      <c r="G16" s="6" t="s">
        <v>67</v>
      </c>
      <c r="H16" s="9"/>
      <c r="I16" s="6"/>
      <c r="J16" s="6"/>
      <c r="K16" s="6"/>
      <c r="L16" s="10" t="str">
        <f t="shared" si="0"/>
        <v/>
      </c>
      <c r="M16" s="6" t="str">
        <f t="shared" si="1"/>
        <v>Da compilare</v>
      </c>
      <c r="N16" s="6" t="str">
        <f t="shared" si="2"/>
        <v>Selezionare stato</v>
      </c>
    </row>
    <row r="17" spans="1:14" ht="15">
      <c r="A17" s="6" t="s">
        <v>86</v>
      </c>
      <c r="B17" s="6" t="s">
        <v>18</v>
      </c>
      <c r="C17" s="6" t="s">
        <v>65</v>
      </c>
      <c r="D17" s="6" t="s">
        <v>87</v>
      </c>
      <c r="E17" s="6"/>
      <c r="F17" s="6"/>
      <c r="G17" s="6" t="s">
        <v>67</v>
      </c>
      <c r="H17" s="9"/>
      <c r="I17" s="6"/>
      <c r="J17" s="6"/>
      <c r="K17" s="6"/>
      <c r="L17" s="10" t="str">
        <f t="shared" si="0"/>
        <v/>
      </c>
      <c r="M17" s="6" t="str">
        <f t="shared" si="1"/>
        <v>Da compilare</v>
      </c>
      <c r="N17" s="6" t="str">
        <f t="shared" si="2"/>
        <v>Selezionare stato</v>
      </c>
    </row>
    <row r="18" spans="1:14" ht="15">
      <c r="A18" s="6" t="s">
        <v>88</v>
      </c>
      <c r="B18" s="6" t="s">
        <v>18</v>
      </c>
      <c r="C18" s="6" t="s">
        <v>65</v>
      </c>
      <c r="D18" s="6" t="s">
        <v>89</v>
      </c>
      <c r="E18" s="6"/>
      <c r="F18" s="6"/>
      <c r="G18" s="6" t="s">
        <v>67</v>
      </c>
      <c r="H18" s="9"/>
      <c r="I18" s="6"/>
      <c r="J18" s="6"/>
      <c r="K18" s="6"/>
      <c r="L18" s="10" t="str">
        <f t="shared" si="0"/>
        <v/>
      </c>
      <c r="M18" s="6" t="str">
        <f t="shared" si="1"/>
        <v>Da compilare</v>
      </c>
      <c r="N18" s="6" t="str">
        <f t="shared" si="2"/>
        <v>Selezionare stato</v>
      </c>
    </row>
    <row r="19" spans="1:14" ht="15">
      <c r="A19" s="6" t="s">
        <v>90</v>
      </c>
      <c r="B19" s="6" t="s">
        <v>19</v>
      </c>
      <c r="C19" s="6" t="s">
        <v>91</v>
      </c>
      <c r="D19" s="6" t="s">
        <v>92</v>
      </c>
      <c r="E19" s="6"/>
      <c r="F19" s="6"/>
      <c r="G19" s="6" t="s">
        <v>67</v>
      </c>
      <c r="H19" s="9"/>
      <c r="I19" s="6"/>
      <c r="J19" s="6"/>
      <c r="K19" s="6"/>
      <c r="L19" s="10" t="str">
        <f t="shared" si="0"/>
        <v/>
      </c>
      <c r="M19" s="6" t="str">
        <f t="shared" si="1"/>
        <v>Da compilare</v>
      </c>
      <c r="N19" s="6" t="str">
        <f t="shared" si="2"/>
        <v>Selezionare stato</v>
      </c>
    </row>
    <row r="20" spans="1:14" ht="15">
      <c r="A20" s="6" t="s">
        <v>93</v>
      </c>
      <c r="B20" s="6" t="s">
        <v>19</v>
      </c>
      <c r="C20" s="6" t="s">
        <v>91</v>
      </c>
      <c r="D20" s="6" t="s">
        <v>94</v>
      </c>
      <c r="E20" s="6"/>
      <c r="F20" s="6"/>
      <c r="G20" s="6" t="s">
        <v>67</v>
      </c>
      <c r="H20" s="9"/>
      <c r="I20" s="6"/>
      <c r="J20" s="6"/>
      <c r="K20" s="6"/>
      <c r="L20" s="10" t="str">
        <f t="shared" si="0"/>
        <v/>
      </c>
      <c r="M20" s="6" t="str">
        <f t="shared" si="1"/>
        <v>Da compilare</v>
      </c>
      <c r="N20" s="6" t="str">
        <f t="shared" si="2"/>
        <v>Selezionare stato</v>
      </c>
    </row>
    <row r="21" spans="1:14" ht="15">
      <c r="A21" s="6" t="s">
        <v>95</v>
      </c>
      <c r="B21" s="6" t="s">
        <v>19</v>
      </c>
      <c r="C21" s="6" t="s">
        <v>91</v>
      </c>
      <c r="D21" s="6" t="s">
        <v>96</v>
      </c>
      <c r="E21" s="6"/>
      <c r="F21" s="6"/>
      <c r="G21" s="6" t="s">
        <v>67</v>
      </c>
      <c r="H21" s="9"/>
      <c r="I21" s="6"/>
      <c r="J21" s="6"/>
      <c r="K21" s="6"/>
      <c r="L21" s="10" t="str">
        <f t="shared" si="0"/>
        <v/>
      </c>
      <c r="M21" s="6" t="str">
        <f t="shared" si="1"/>
        <v>Da compilare</v>
      </c>
      <c r="N21" s="6" t="str">
        <f t="shared" si="2"/>
        <v>Selezionare stato</v>
      </c>
    </row>
    <row r="22" spans="1:14" ht="15">
      <c r="A22" s="6" t="s">
        <v>97</v>
      </c>
      <c r="B22" s="6" t="s">
        <v>19</v>
      </c>
      <c r="C22" s="6" t="s">
        <v>91</v>
      </c>
      <c r="D22" s="6" t="s">
        <v>98</v>
      </c>
      <c r="E22" s="6"/>
      <c r="F22" s="6"/>
      <c r="G22" s="6" t="s">
        <v>67</v>
      </c>
      <c r="H22" s="9"/>
      <c r="I22" s="6"/>
      <c r="J22" s="6"/>
      <c r="K22" s="6"/>
      <c r="L22" s="10" t="str">
        <f t="shared" si="0"/>
        <v/>
      </c>
      <c r="M22" s="6" t="str">
        <f t="shared" si="1"/>
        <v>Da compilare</v>
      </c>
      <c r="N22" s="6" t="str">
        <f t="shared" si="2"/>
        <v>Selezionare stato</v>
      </c>
    </row>
    <row r="23" spans="1:14" ht="15">
      <c r="A23" s="6" t="s">
        <v>99</v>
      </c>
      <c r="B23" s="6" t="s">
        <v>19</v>
      </c>
      <c r="C23" s="6" t="s">
        <v>91</v>
      </c>
      <c r="D23" s="6" t="s">
        <v>100</v>
      </c>
      <c r="E23" s="6"/>
      <c r="F23" s="6"/>
      <c r="G23" s="6" t="s">
        <v>67</v>
      </c>
      <c r="H23" s="9"/>
      <c r="I23" s="6"/>
      <c r="J23" s="6"/>
      <c r="K23" s="6"/>
      <c r="L23" s="10" t="str">
        <f t="shared" si="0"/>
        <v/>
      </c>
      <c r="M23" s="6" t="str">
        <f t="shared" si="1"/>
        <v>Da compilare</v>
      </c>
      <c r="N23" s="6" t="str">
        <f t="shared" si="2"/>
        <v>Selezionare stato</v>
      </c>
    </row>
    <row r="24" spans="1:14" ht="15">
      <c r="A24" s="6" t="s">
        <v>101</v>
      </c>
      <c r="B24" s="6" t="s">
        <v>19</v>
      </c>
      <c r="C24" s="6" t="s">
        <v>91</v>
      </c>
      <c r="D24" s="6" t="s">
        <v>102</v>
      </c>
      <c r="E24" s="6"/>
      <c r="F24" s="6"/>
      <c r="G24" s="6" t="s">
        <v>67</v>
      </c>
      <c r="H24" s="9"/>
      <c r="I24" s="6"/>
      <c r="J24" s="6"/>
      <c r="K24" s="6"/>
      <c r="L24" s="10" t="str">
        <f t="shared" si="0"/>
        <v/>
      </c>
      <c r="M24" s="6" t="str">
        <f t="shared" si="1"/>
        <v>Da compilare</v>
      </c>
      <c r="N24" s="6" t="str">
        <f t="shared" si="2"/>
        <v>Selezionare stato</v>
      </c>
    </row>
    <row r="25" spans="1:14" ht="15">
      <c r="A25" s="6" t="s">
        <v>103</v>
      </c>
      <c r="B25" s="6" t="s">
        <v>19</v>
      </c>
      <c r="C25" s="6" t="s">
        <v>91</v>
      </c>
      <c r="D25" s="6" t="s">
        <v>104</v>
      </c>
      <c r="E25" s="6"/>
      <c r="F25" s="6"/>
      <c r="G25" s="6" t="s">
        <v>67</v>
      </c>
      <c r="H25" s="9"/>
      <c r="I25" s="6"/>
      <c r="J25" s="6"/>
      <c r="K25" s="6"/>
      <c r="L25" s="10" t="str">
        <f t="shared" si="0"/>
        <v/>
      </c>
      <c r="M25" s="6" t="str">
        <f t="shared" si="1"/>
        <v>Da compilare</v>
      </c>
      <c r="N25" s="6" t="str">
        <f t="shared" si="2"/>
        <v>Selezionare stato</v>
      </c>
    </row>
    <row r="26" spans="1:14" ht="15">
      <c r="A26" s="6" t="s">
        <v>105</v>
      </c>
      <c r="B26" s="6" t="s">
        <v>19</v>
      </c>
      <c r="C26" s="6" t="s">
        <v>91</v>
      </c>
      <c r="D26" s="6" t="s">
        <v>106</v>
      </c>
      <c r="E26" s="6"/>
      <c r="F26" s="6"/>
      <c r="G26" s="6" t="s">
        <v>67</v>
      </c>
      <c r="H26" s="9"/>
      <c r="I26" s="6"/>
      <c r="J26" s="6"/>
      <c r="K26" s="6"/>
      <c r="L26" s="10" t="str">
        <f t="shared" si="0"/>
        <v/>
      </c>
      <c r="M26" s="6" t="str">
        <f t="shared" si="1"/>
        <v>Da compilare</v>
      </c>
      <c r="N26" s="6" t="str">
        <f t="shared" si="2"/>
        <v>Selezionare stato</v>
      </c>
    </row>
    <row r="27" spans="1:14" ht="15">
      <c r="A27" s="6" t="s">
        <v>107</v>
      </c>
      <c r="B27" s="6" t="s">
        <v>19</v>
      </c>
      <c r="C27" s="6" t="s">
        <v>91</v>
      </c>
      <c r="D27" s="6" t="s">
        <v>108</v>
      </c>
      <c r="E27" s="6"/>
      <c r="F27" s="6"/>
      <c r="G27" s="6" t="s">
        <v>67</v>
      </c>
      <c r="H27" s="9"/>
      <c r="I27" s="6"/>
      <c r="J27" s="6"/>
      <c r="K27" s="6"/>
      <c r="L27" s="10" t="str">
        <f t="shared" si="0"/>
        <v/>
      </c>
      <c r="M27" s="6" t="str">
        <f t="shared" si="1"/>
        <v>Da compilare</v>
      </c>
      <c r="N27" s="6" t="str">
        <f t="shared" si="2"/>
        <v>Selezionare stato</v>
      </c>
    </row>
    <row r="28" spans="1:14" ht="15">
      <c r="A28" s="6" t="s">
        <v>109</v>
      </c>
      <c r="B28" s="6" t="s">
        <v>19</v>
      </c>
      <c r="C28" s="6" t="s">
        <v>91</v>
      </c>
      <c r="D28" s="6" t="s">
        <v>110</v>
      </c>
      <c r="E28" s="6"/>
      <c r="F28" s="6"/>
      <c r="G28" s="6" t="s">
        <v>67</v>
      </c>
      <c r="H28" s="9"/>
      <c r="I28" s="6"/>
      <c r="J28" s="6"/>
      <c r="K28" s="6"/>
      <c r="L28" s="10" t="str">
        <f t="shared" si="0"/>
        <v/>
      </c>
      <c r="M28" s="6" t="str">
        <f t="shared" si="1"/>
        <v>Da compilare</v>
      </c>
      <c r="N28" s="6" t="str">
        <f t="shared" si="2"/>
        <v>Selezionare stato</v>
      </c>
    </row>
    <row r="29" spans="1:14" ht="15">
      <c r="A29" s="6" t="s">
        <v>111</v>
      </c>
      <c r="B29" s="6" t="s">
        <v>20</v>
      </c>
      <c r="C29" s="6" t="s">
        <v>112</v>
      </c>
      <c r="D29" s="6" t="s">
        <v>113</v>
      </c>
      <c r="E29" s="6"/>
      <c r="F29" s="6"/>
      <c r="G29" s="6" t="s">
        <v>67</v>
      </c>
      <c r="H29" s="9"/>
      <c r="I29" s="6"/>
      <c r="J29" s="6"/>
      <c r="K29" s="6"/>
      <c r="L29" s="10" t="str">
        <f t="shared" si="0"/>
        <v/>
      </c>
      <c r="M29" s="6" t="str">
        <f t="shared" si="1"/>
        <v>Da compilare</v>
      </c>
      <c r="N29" s="6" t="str">
        <f t="shared" si="2"/>
        <v>Selezionare stato</v>
      </c>
    </row>
    <row r="30" spans="1:14" ht="15">
      <c r="A30" s="6" t="s">
        <v>114</v>
      </c>
      <c r="B30" s="6" t="s">
        <v>20</v>
      </c>
      <c r="C30" s="6" t="s">
        <v>112</v>
      </c>
      <c r="D30" s="6" t="s">
        <v>115</v>
      </c>
      <c r="E30" s="6"/>
      <c r="F30" s="6"/>
      <c r="G30" s="6" t="s">
        <v>67</v>
      </c>
      <c r="H30" s="9"/>
      <c r="I30" s="6"/>
      <c r="J30" s="6"/>
      <c r="K30" s="6"/>
      <c r="L30" s="10" t="str">
        <f t="shared" si="0"/>
        <v/>
      </c>
      <c r="M30" s="6" t="str">
        <f t="shared" si="1"/>
        <v>Da compilare</v>
      </c>
      <c r="N30" s="6" t="str">
        <f t="shared" si="2"/>
        <v>Selezionare stato</v>
      </c>
    </row>
    <row r="31" spans="1:14" ht="15">
      <c r="A31" s="6" t="s">
        <v>116</v>
      </c>
      <c r="B31" s="6" t="s">
        <v>20</v>
      </c>
      <c r="C31" s="6" t="s">
        <v>112</v>
      </c>
      <c r="D31" s="6" t="s">
        <v>117</v>
      </c>
      <c r="E31" s="6"/>
      <c r="F31" s="6"/>
      <c r="G31" s="6" t="s">
        <v>67</v>
      </c>
      <c r="H31" s="9"/>
      <c r="I31" s="6"/>
      <c r="J31" s="6"/>
      <c r="K31" s="6"/>
      <c r="L31" s="10" t="str">
        <f t="shared" si="0"/>
        <v/>
      </c>
      <c r="M31" s="6" t="str">
        <f t="shared" si="1"/>
        <v>Da compilare</v>
      </c>
      <c r="N31" s="6" t="str">
        <f t="shared" si="2"/>
        <v>Selezionare stato</v>
      </c>
    </row>
    <row r="32" spans="1:14" ht="15">
      <c r="A32" s="6" t="s">
        <v>118</v>
      </c>
      <c r="B32" s="6" t="s">
        <v>20</v>
      </c>
      <c r="C32" s="6" t="s">
        <v>112</v>
      </c>
      <c r="D32" s="6" t="s">
        <v>119</v>
      </c>
      <c r="E32" s="6"/>
      <c r="F32" s="6"/>
      <c r="G32" s="6" t="s">
        <v>67</v>
      </c>
      <c r="H32" s="9"/>
      <c r="I32" s="6"/>
      <c r="J32" s="6"/>
      <c r="K32" s="6"/>
      <c r="L32" s="10" t="str">
        <f t="shared" si="0"/>
        <v/>
      </c>
      <c r="M32" s="6" t="str">
        <f t="shared" si="1"/>
        <v>Da compilare</v>
      </c>
      <c r="N32" s="6" t="str">
        <f t="shared" si="2"/>
        <v>Selezionare stato</v>
      </c>
    </row>
    <row r="33" spans="1:14" ht="15">
      <c r="A33" s="6" t="s">
        <v>120</v>
      </c>
      <c r="B33" s="6" t="s">
        <v>20</v>
      </c>
      <c r="C33" s="6" t="s">
        <v>112</v>
      </c>
      <c r="D33" s="6" t="s">
        <v>121</v>
      </c>
      <c r="E33" s="6"/>
      <c r="F33" s="6"/>
      <c r="G33" s="6" t="s">
        <v>67</v>
      </c>
      <c r="H33" s="9"/>
      <c r="I33" s="6"/>
      <c r="J33" s="6"/>
      <c r="K33" s="6"/>
      <c r="L33" s="10" t="str">
        <f t="shared" si="0"/>
        <v/>
      </c>
      <c r="M33" s="6" t="str">
        <f t="shared" si="1"/>
        <v>Da compilare</v>
      </c>
      <c r="N33" s="6" t="str">
        <f t="shared" si="2"/>
        <v>Selezionare stato</v>
      </c>
    </row>
    <row r="34" spans="1:14" ht="15">
      <c r="A34" s="6" t="s">
        <v>122</v>
      </c>
      <c r="B34" s="6" t="s">
        <v>20</v>
      </c>
      <c r="C34" s="6" t="s">
        <v>112</v>
      </c>
      <c r="D34" s="6" t="s">
        <v>123</v>
      </c>
      <c r="E34" s="6"/>
      <c r="F34" s="6"/>
      <c r="G34" s="6" t="s">
        <v>67</v>
      </c>
      <c r="H34" s="9"/>
      <c r="I34" s="6"/>
      <c r="J34" s="6"/>
      <c r="K34" s="6"/>
      <c r="L34" s="10" t="str">
        <f t="shared" si="0"/>
        <v/>
      </c>
      <c r="M34" s="6" t="str">
        <f t="shared" si="1"/>
        <v>Da compilare</v>
      </c>
      <c r="N34" s="6" t="str">
        <f t="shared" si="2"/>
        <v>Selezionare stato</v>
      </c>
    </row>
    <row r="35" spans="1:14" ht="15">
      <c r="A35" s="6" t="s">
        <v>124</v>
      </c>
      <c r="B35" s="6" t="s">
        <v>20</v>
      </c>
      <c r="C35" s="6" t="s">
        <v>112</v>
      </c>
      <c r="D35" s="6" t="s">
        <v>125</v>
      </c>
      <c r="E35" s="6"/>
      <c r="F35" s="6"/>
      <c r="G35" s="6" t="s">
        <v>67</v>
      </c>
      <c r="H35" s="9"/>
      <c r="I35" s="6"/>
      <c r="J35" s="6"/>
      <c r="K35" s="6"/>
      <c r="L35" s="10" t="str">
        <f t="shared" si="0"/>
        <v/>
      </c>
      <c r="M35" s="6" t="str">
        <f t="shared" si="1"/>
        <v>Da compilare</v>
      </c>
      <c r="N35" s="6" t="str">
        <f t="shared" si="2"/>
        <v>Selezionare stato</v>
      </c>
    </row>
    <row r="36" spans="1:14" ht="15">
      <c r="A36" s="6" t="s">
        <v>126</v>
      </c>
      <c r="B36" s="6" t="s">
        <v>20</v>
      </c>
      <c r="C36" s="6" t="s">
        <v>112</v>
      </c>
      <c r="D36" s="6" t="s">
        <v>127</v>
      </c>
      <c r="E36" s="6"/>
      <c r="F36" s="6"/>
      <c r="G36" s="6" t="s">
        <v>67</v>
      </c>
      <c r="H36" s="9"/>
      <c r="I36" s="6"/>
      <c r="J36" s="6"/>
      <c r="K36" s="6"/>
      <c r="L36" s="10" t="str">
        <f t="shared" si="0"/>
        <v/>
      </c>
      <c r="M36" s="6" t="str">
        <f t="shared" si="1"/>
        <v>Da compilare</v>
      </c>
      <c r="N36" s="6" t="str">
        <f t="shared" si="2"/>
        <v>Selezionare stato</v>
      </c>
    </row>
    <row r="37" spans="1:14" ht="15">
      <c r="A37" s="6" t="s">
        <v>128</v>
      </c>
      <c r="B37" s="6" t="s">
        <v>20</v>
      </c>
      <c r="C37" s="6" t="s">
        <v>112</v>
      </c>
      <c r="D37" s="6" t="s">
        <v>129</v>
      </c>
      <c r="E37" s="6" t="s">
        <v>3</v>
      </c>
      <c r="F37" s="6"/>
      <c r="G37" s="6" t="s">
        <v>67</v>
      </c>
      <c r="H37" s="9"/>
      <c r="I37" s="6"/>
      <c r="J37" s="6"/>
      <c r="K37" s="6"/>
      <c r="L37" s="10">
        <f t="shared" si="0"/>
        <v>1</v>
      </c>
      <c r="M37" s="6" t="str">
        <f t="shared" si="1"/>
        <v>Conforme</v>
      </c>
      <c r="N37" s="6" t="str">
        <f t="shared" si="2"/>
        <v>Archiviare evidenza</v>
      </c>
    </row>
    <row r="38" spans="1:14" ht="15">
      <c r="A38" s="6" t="s">
        <v>130</v>
      </c>
      <c r="B38" s="6" t="s">
        <v>20</v>
      </c>
      <c r="C38" s="6" t="s">
        <v>112</v>
      </c>
      <c r="D38" s="6" t="s">
        <v>131</v>
      </c>
      <c r="E38" s="6" t="s">
        <v>3</v>
      </c>
      <c r="F38" s="6"/>
      <c r="G38" s="6" t="s">
        <v>67</v>
      </c>
      <c r="H38" s="9"/>
      <c r="I38" s="6"/>
      <c r="J38" s="6"/>
      <c r="K38" s="6"/>
      <c r="L38" s="10">
        <f t="shared" si="0"/>
        <v>1</v>
      </c>
      <c r="M38" s="6" t="str">
        <f t="shared" si="1"/>
        <v>Conforme</v>
      </c>
      <c r="N38" s="6" t="str">
        <f t="shared" si="2"/>
        <v>Archiviare evidenza</v>
      </c>
    </row>
    <row r="39" spans="1:14" ht="15">
      <c r="A39" s="6" t="s">
        <v>132</v>
      </c>
      <c r="B39" s="6" t="s">
        <v>20</v>
      </c>
      <c r="C39" s="6" t="s">
        <v>112</v>
      </c>
      <c r="D39" s="6" t="s">
        <v>133</v>
      </c>
      <c r="E39" s="6" t="s">
        <v>3</v>
      </c>
      <c r="F39" s="6"/>
      <c r="G39" s="6" t="s">
        <v>67</v>
      </c>
      <c r="H39" s="9"/>
      <c r="I39" s="6"/>
      <c r="J39" s="6"/>
      <c r="K39" s="6"/>
      <c r="L39" s="10">
        <f t="shared" ref="L39:L70" si="3">IF(E39="OK",1,IF(E39="KO",0,""))</f>
        <v>1</v>
      </c>
      <c r="M39" s="6" t="str">
        <f t="shared" ref="M39:M70" si="4">IF(E39="OK","Conforme",IF(E39="KO","Non conforme",IF(E39="Non applicabile","N/A","Da compilare")))</f>
        <v>Conforme</v>
      </c>
      <c r="N39" s="6" t="str">
        <f t="shared" ref="N39:N70" si="5">IF(E39="KO","Aprire azione correttiva in sheet Azioni",IF(E39="OK","Archiviare evidenza",IF(E39="Non applicabile","Motivare N/A nelle note","Selezionare stato")))</f>
        <v>Archiviare evidenza</v>
      </c>
    </row>
    <row r="40" spans="1:14" ht="15">
      <c r="A40" s="6" t="s">
        <v>134</v>
      </c>
      <c r="B40" s="6" t="s">
        <v>20</v>
      </c>
      <c r="C40" s="6" t="s">
        <v>112</v>
      </c>
      <c r="D40" s="6" t="s">
        <v>135</v>
      </c>
      <c r="E40" s="6" t="s">
        <v>4</v>
      </c>
      <c r="F40" s="6"/>
      <c r="G40" s="6" t="s">
        <v>67</v>
      </c>
      <c r="H40" s="9"/>
      <c r="I40" s="6"/>
      <c r="J40" s="6"/>
      <c r="K40" s="6"/>
      <c r="L40" s="10">
        <f t="shared" si="3"/>
        <v>0</v>
      </c>
      <c r="M40" s="6" t="str">
        <f t="shared" si="4"/>
        <v>Non conforme</v>
      </c>
      <c r="N40" s="6" t="str">
        <f t="shared" si="5"/>
        <v>Aprire azione correttiva in sheet Azioni</v>
      </c>
    </row>
    <row r="41" spans="1:14" ht="15">
      <c r="A41" s="6" t="s">
        <v>136</v>
      </c>
      <c r="B41" s="6" t="s">
        <v>20</v>
      </c>
      <c r="C41" s="6" t="s">
        <v>112</v>
      </c>
      <c r="D41" s="6" t="s">
        <v>137</v>
      </c>
      <c r="E41" s="6" t="s">
        <v>12</v>
      </c>
      <c r="F41" s="6"/>
      <c r="G41" s="6" t="s">
        <v>67</v>
      </c>
      <c r="H41" s="9"/>
      <c r="I41" s="6"/>
      <c r="J41" s="6"/>
      <c r="K41" s="6"/>
      <c r="L41" s="10" t="str">
        <f t="shared" si="3"/>
        <v/>
      </c>
      <c r="M41" s="6" t="str">
        <f t="shared" si="4"/>
        <v>N/A</v>
      </c>
      <c r="N41" s="6" t="str">
        <f t="shared" si="5"/>
        <v>Motivare N/A nelle note</v>
      </c>
    </row>
    <row r="42" spans="1:14" ht="15">
      <c r="A42" s="6" t="s">
        <v>138</v>
      </c>
      <c r="B42" s="6" t="s">
        <v>20</v>
      </c>
      <c r="C42" s="6" t="s">
        <v>112</v>
      </c>
      <c r="D42" s="6" t="s">
        <v>139</v>
      </c>
      <c r="E42" s="6" t="s">
        <v>4</v>
      </c>
      <c r="F42" s="6"/>
      <c r="G42" s="6" t="s">
        <v>67</v>
      </c>
      <c r="H42" s="9"/>
      <c r="I42" s="6"/>
      <c r="J42" s="6"/>
      <c r="K42" s="6"/>
      <c r="L42" s="10">
        <f t="shared" si="3"/>
        <v>0</v>
      </c>
      <c r="M42" s="6" t="str">
        <f t="shared" si="4"/>
        <v>Non conforme</v>
      </c>
      <c r="N42" s="6" t="str">
        <f t="shared" si="5"/>
        <v>Aprire azione correttiva in sheet Azioni</v>
      </c>
    </row>
    <row r="43" spans="1:14" ht="15">
      <c r="A43" s="6" t="s">
        <v>140</v>
      </c>
      <c r="B43" s="6" t="s">
        <v>21</v>
      </c>
      <c r="C43" s="6" t="s">
        <v>141</v>
      </c>
      <c r="D43" s="6" t="s">
        <v>142</v>
      </c>
      <c r="E43" s="6"/>
      <c r="F43" s="6"/>
      <c r="G43" s="6" t="s">
        <v>67</v>
      </c>
      <c r="H43" s="9"/>
      <c r="I43" s="6"/>
      <c r="J43" s="6"/>
      <c r="K43" s="6"/>
      <c r="L43" s="10" t="str">
        <f t="shared" si="3"/>
        <v/>
      </c>
      <c r="M43" s="6" t="str">
        <f t="shared" si="4"/>
        <v>Da compilare</v>
      </c>
      <c r="N43" s="6" t="str">
        <f t="shared" si="5"/>
        <v>Selezionare stato</v>
      </c>
    </row>
    <row r="44" spans="1:14" ht="15">
      <c r="A44" s="6" t="s">
        <v>143</v>
      </c>
      <c r="B44" s="6" t="s">
        <v>21</v>
      </c>
      <c r="C44" s="6" t="s">
        <v>141</v>
      </c>
      <c r="D44" s="6" t="s">
        <v>144</v>
      </c>
      <c r="E44" s="6"/>
      <c r="F44" s="6"/>
      <c r="G44" s="6" t="s">
        <v>67</v>
      </c>
      <c r="H44" s="9"/>
      <c r="I44" s="6"/>
      <c r="J44" s="6"/>
      <c r="K44" s="6"/>
      <c r="L44" s="10" t="str">
        <f t="shared" si="3"/>
        <v/>
      </c>
      <c r="M44" s="6" t="str">
        <f t="shared" si="4"/>
        <v>Da compilare</v>
      </c>
      <c r="N44" s="6" t="str">
        <f t="shared" si="5"/>
        <v>Selezionare stato</v>
      </c>
    </row>
    <row r="45" spans="1:14" ht="15">
      <c r="A45" s="6" t="s">
        <v>145</v>
      </c>
      <c r="B45" s="6" t="s">
        <v>21</v>
      </c>
      <c r="C45" s="6" t="s">
        <v>141</v>
      </c>
      <c r="D45" s="6" t="s">
        <v>146</v>
      </c>
      <c r="E45" s="6"/>
      <c r="F45" s="6"/>
      <c r="G45" s="6" t="s">
        <v>67</v>
      </c>
      <c r="H45" s="9"/>
      <c r="I45" s="6"/>
      <c r="J45" s="6"/>
      <c r="K45" s="6"/>
      <c r="L45" s="10" t="str">
        <f t="shared" si="3"/>
        <v/>
      </c>
      <c r="M45" s="6" t="str">
        <f t="shared" si="4"/>
        <v>Da compilare</v>
      </c>
      <c r="N45" s="6" t="str">
        <f t="shared" si="5"/>
        <v>Selezionare stato</v>
      </c>
    </row>
    <row r="46" spans="1:14" ht="15">
      <c r="A46" s="6" t="s">
        <v>147</v>
      </c>
      <c r="B46" s="6" t="s">
        <v>21</v>
      </c>
      <c r="C46" s="6" t="s">
        <v>141</v>
      </c>
      <c r="D46" s="6" t="s">
        <v>148</v>
      </c>
      <c r="E46" s="6"/>
      <c r="F46" s="6"/>
      <c r="G46" s="6" t="s">
        <v>67</v>
      </c>
      <c r="H46" s="9"/>
      <c r="I46" s="6"/>
      <c r="J46" s="6"/>
      <c r="K46" s="6"/>
      <c r="L46" s="10" t="str">
        <f t="shared" si="3"/>
        <v/>
      </c>
      <c r="M46" s="6" t="str">
        <f t="shared" si="4"/>
        <v>Da compilare</v>
      </c>
      <c r="N46" s="6" t="str">
        <f t="shared" si="5"/>
        <v>Selezionare stato</v>
      </c>
    </row>
    <row r="47" spans="1:14" ht="15">
      <c r="A47" s="6" t="s">
        <v>149</v>
      </c>
      <c r="B47" s="6" t="s">
        <v>21</v>
      </c>
      <c r="C47" s="6" t="s">
        <v>141</v>
      </c>
      <c r="D47" s="6" t="s">
        <v>150</v>
      </c>
      <c r="E47" s="6"/>
      <c r="F47" s="6"/>
      <c r="G47" s="6" t="s">
        <v>67</v>
      </c>
      <c r="H47" s="9"/>
      <c r="I47" s="6"/>
      <c r="J47" s="6"/>
      <c r="K47" s="6"/>
      <c r="L47" s="10" t="str">
        <f t="shared" si="3"/>
        <v/>
      </c>
      <c r="M47" s="6" t="str">
        <f t="shared" si="4"/>
        <v>Da compilare</v>
      </c>
      <c r="N47" s="6" t="str">
        <f t="shared" si="5"/>
        <v>Selezionare stato</v>
      </c>
    </row>
    <row r="48" spans="1:14" ht="15">
      <c r="A48" s="6" t="s">
        <v>151</v>
      </c>
      <c r="B48" s="6" t="s">
        <v>21</v>
      </c>
      <c r="C48" s="6" t="s">
        <v>141</v>
      </c>
      <c r="D48" s="6" t="s">
        <v>152</v>
      </c>
      <c r="E48" s="6"/>
      <c r="F48" s="6"/>
      <c r="G48" s="6" t="s">
        <v>67</v>
      </c>
      <c r="H48" s="9"/>
      <c r="I48" s="6"/>
      <c r="J48" s="6"/>
      <c r="K48" s="6"/>
      <c r="L48" s="10" t="str">
        <f t="shared" si="3"/>
        <v/>
      </c>
      <c r="M48" s="6" t="str">
        <f t="shared" si="4"/>
        <v>Da compilare</v>
      </c>
      <c r="N48" s="6" t="str">
        <f t="shared" si="5"/>
        <v>Selezionare stato</v>
      </c>
    </row>
    <row r="49" spans="1:14" ht="15">
      <c r="A49" s="6" t="s">
        <v>153</v>
      </c>
      <c r="B49" s="6" t="s">
        <v>21</v>
      </c>
      <c r="C49" s="6" t="s">
        <v>141</v>
      </c>
      <c r="D49" s="6" t="s">
        <v>154</v>
      </c>
      <c r="E49" s="6"/>
      <c r="F49" s="6"/>
      <c r="G49" s="6" t="s">
        <v>67</v>
      </c>
      <c r="H49" s="9"/>
      <c r="I49" s="6"/>
      <c r="J49" s="6"/>
      <c r="K49" s="6"/>
      <c r="L49" s="10" t="str">
        <f t="shared" si="3"/>
        <v/>
      </c>
      <c r="M49" s="6" t="str">
        <f t="shared" si="4"/>
        <v>Da compilare</v>
      </c>
      <c r="N49" s="6" t="str">
        <f t="shared" si="5"/>
        <v>Selezionare stato</v>
      </c>
    </row>
    <row r="50" spans="1:14" ht="15">
      <c r="A50" s="6" t="s">
        <v>155</v>
      </c>
      <c r="B50" s="6" t="s">
        <v>21</v>
      </c>
      <c r="C50" s="6" t="s">
        <v>141</v>
      </c>
      <c r="D50" s="6" t="s">
        <v>156</v>
      </c>
      <c r="E50" s="6"/>
      <c r="F50" s="6"/>
      <c r="G50" s="6" t="s">
        <v>67</v>
      </c>
      <c r="H50" s="9"/>
      <c r="I50" s="6"/>
      <c r="J50" s="6"/>
      <c r="K50" s="6"/>
      <c r="L50" s="10" t="str">
        <f t="shared" si="3"/>
        <v/>
      </c>
      <c r="M50" s="6" t="str">
        <f t="shared" si="4"/>
        <v>Da compilare</v>
      </c>
      <c r="N50" s="6" t="str">
        <f t="shared" si="5"/>
        <v>Selezionare stato</v>
      </c>
    </row>
    <row r="51" spans="1:14" ht="15">
      <c r="A51" s="6" t="s">
        <v>157</v>
      </c>
      <c r="B51" s="6" t="s">
        <v>21</v>
      </c>
      <c r="C51" s="6" t="s">
        <v>141</v>
      </c>
      <c r="D51" s="6" t="s">
        <v>158</v>
      </c>
      <c r="E51" s="6"/>
      <c r="F51" s="6"/>
      <c r="G51" s="6" t="s">
        <v>67</v>
      </c>
      <c r="H51" s="9"/>
      <c r="I51" s="6"/>
      <c r="J51" s="6"/>
      <c r="K51" s="6"/>
      <c r="L51" s="10" t="str">
        <f t="shared" si="3"/>
        <v/>
      </c>
      <c r="M51" s="6" t="str">
        <f t="shared" si="4"/>
        <v>Da compilare</v>
      </c>
      <c r="N51" s="6" t="str">
        <f t="shared" si="5"/>
        <v>Selezionare stato</v>
      </c>
    </row>
    <row r="52" spans="1:14" ht="15">
      <c r="A52" s="6" t="s">
        <v>159</v>
      </c>
      <c r="B52" s="6" t="s">
        <v>21</v>
      </c>
      <c r="C52" s="6" t="s">
        <v>141</v>
      </c>
      <c r="D52" s="6" t="s">
        <v>160</v>
      </c>
      <c r="E52" s="6"/>
      <c r="F52" s="6"/>
      <c r="G52" s="6" t="s">
        <v>67</v>
      </c>
      <c r="H52" s="9"/>
      <c r="I52" s="6"/>
      <c r="J52" s="6"/>
      <c r="K52" s="6"/>
      <c r="L52" s="10" t="str">
        <f t="shared" si="3"/>
        <v/>
      </c>
      <c r="M52" s="6" t="str">
        <f t="shared" si="4"/>
        <v>Da compilare</v>
      </c>
      <c r="N52" s="6" t="str">
        <f t="shared" si="5"/>
        <v>Selezionare stato</v>
      </c>
    </row>
    <row r="53" spans="1:14" ht="15">
      <c r="A53" s="6" t="s">
        <v>161</v>
      </c>
      <c r="B53" s="6" t="s">
        <v>21</v>
      </c>
      <c r="C53" s="6" t="s">
        <v>141</v>
      </c>
      <c r="D53" s="6" t="s">
        <v>162</v>
      </c>
      <c r="E53" s="6"/>
      <c r="F53" s="6"/>
      <c r="G53" s="6" t="s">
        <v>67</v>
      </c>
      <c r="H53" s="9"/>
      <c r="I53" s="6"/>
      <c r="J53" s="6"/>
      <c r="K53" s="6"/>
      <c r="L53" s="10" t="str">
        <f t="shared" si="3"/>
        <v/>
      </c>
      <c r="M53" s="6" t="str">
        <f t="shared" si="4"/>
        <v>Da compilare</v>
      </c>
      <c r="N53" s="6" t="str">
        <f t="shared" si="5"/>
        <v>Selezionare stato</v>
      </c>
    </row>
    <row r="54" spans="1:14" ht="15">
      <c r="A54" s="6" t="s">
        <v>163</v>
      </c>
      <c r="B54" s="6" t="s">
        <v>21</v>
      </c>
      <c r="C54" s="6" t="s">
        <v>141</v>
      </c>
      <c r="D54" s="6" t="s">
        <v>164</v>
      </c>
      <c r="E54" s="6"/>
      <c r="F54" s="6"/>
      <c r="G54" s="6" t="s">
        <v>67</v>
      </c>
      <c r="H54" s="9"/>
      <c r="I54" s="6"/>
      <c r="J54" s="6"/>
      <c r="K54" s="6"/>
      <c r="L54" s="10" t="str">
        <f t="shared" si="3"/>
        <v/>
      </c>
      <c r="M54" s="6" t="str">
        <f t="shared" si="4"/>
        <v>Da compilare</v>
      </c>
      <c r="N54" s="6" t="str">
        <f t="shared" si="5"/>
        <v>Selezionare stato</v>
      </c>
    </row>
    <row r="55" spans="1:14" ht="15">
      <c r="A55" s="6" t="s">
        <v>165</v>
      </c>
      <c r="B55" s="6" t="s">
        <v>21</v>
      </c>
      <c r="C55" s="6" t="s">
        <v>141</v>
      </c>
      <c r="D55" s="6" t="s">
        <v>166</v>
      </c>
      <c r="E55" s="6"/>
      <c r="F55" s="6"/>
      <c r="G55" s="6" t="s">
        <v>67</v>
      </c>
      <c r="H55" s="9"/>
      <c r="I55" s="6"/>
      <c r="J55" s="6"/>
      <c r="K55" s="6"/>
      <c r="L55" s="10" t="str">
        <f t="shared" si="3"/>
        <v/>
      </c>
      <c r="M55" s="6" t="str">
        <f t="shared" si="4"/>
        <v>Da compilare</v>
      </c>
      <c r="N55" s="6" t="str">
        <f t="shared" si="5"/>
        <v>Selezionare stato</v>
      </c>
    </row>
    <row r="56" spans="1:14" ht="15">
      <c r="A56" s="6" t="s">
        <v>167</v>
      </c>
      <c r="B56" s="6" t="s">
        <v>21</v>
      </c>
      <c r="C56" s="6" t="s">
        <v>141</v>
      </c>
      <c r="D56" s="6" t="s">
        <v>168</v>
      </c>
      <c r="E56" s="6"/>
      <c r="F56" s="6"/>
      <c r="G56" s="6" t="s">
        <v>67</v>
      </c>
      <c r="H56" s="9"/>
      <c r="I56" s="6"/>
      <c r="J56" s="6"/>
      <c r="K56" s="6"/>
      <c r="L56" s="10" t="str">
        <f t="shared" si="3"/>
        <v/>
      </c>
      <c r="M56" s="6" t="str">
        <f t="shared" si="4"/>
        <v>Da compilare</v>
      </c>
      <c r="N56" s="6" t="str">
        <f t="shared" si="5"/>
        <v>Selezionare stato</v>
      </c>
    </row>
    <row r="57" spans="1:14" ht="15">
      <c r="A57" s="6" t="s">
        <v>169</v>
      </c>
      <c r="B57" s="6" t="s">
        <v>22</v>
      </c>
      <c r="C57" s="6" t="s">
        <v>170</v>
      </c>
      <c r="D57" s="6" t="s">
        <v>171</v>
      </c>
      <c r="E57" s="6"/>
      <c r="F57" s="6"/>
      <c r="G57" s="6" t="s">
        <v>67</v>
      </c>
      <c r="H57" s="9"/>
      <c r="I57" s="6"/>
      <c r="J57" s="6"/>
      <c r="K57" s="6"/>
      <c r="L57" s="10" t="str">
        <f t="shared" si="3"/>
        <v/>
      </c>
      <c r="M57" s="6" t="str">
        <f t="shared" si="4"/>
        <v>Da compilare</v>
      </c>
      <c r="N57" s="6" t="str">
        <f t="shared" si="5"/>
        <v>Selezionare stato</v>
      </c>
    </row>
    <row r="58" spans="1:14" ht="15">
      <c r="A58" s="6" t="s">
        <v>172</v>
      </c>
      <c r="B58" s="6" t="s">
        <v>22</v>
      </c>
      <c r="C58" s="6" t="s">
        <v>170</v>
      </c>
      <c r="D58" s="6" t="s">
        <v>173</v>
      </c>
      <c r="E58" s="6"/>
      <c r="F58" s="6"/>
      <c r="G58" s="6" t="s">
        <v>67</v>
      </c>
      <c r="H58" s="9"/>
      <c r="I58" s="6"/>
      <c r="J58" s="6"/>
      <c r="K58" s="6"/>
      <c r="L58" s="10" t="str">
        <f t="shared" si="3"/>
        <v/>
      </c>
      <c r="M58" s="6" t="str">
        <f t="shared" si="4"/>
        <v>Da compilare</v>
      </c>
      <c r="N58" s="6" t="str">
        <f t="shared" si="5"/>
        <v>Selezionare stato</v>
      </c>
    </row>
    <row r="59" spans="1:14" ht="15">
      <c r="A59" s="6" t="s">
        <v>174</v>
      </c>
      <c r="B59" s="6" t="s">
        <v>22</v>
      </c>
      <c r="C59" s="6" t="s">
        <v>170</v>
      </c>
      <c r="D59" s="6" t="s">
        <v>175</v>
      </c>
      <c r="E59" s="6"/>
      <c r="F59" s="6"/>
      <c r="G59" s="6" t="s">
        <v>67</v>
      </c>
      <c r="H59" s="9"/>
      <c r="I59" s="6"/>
      <c r="J59" s="6"/>
      <c r="K59" s="6"/>
      <c r="L59" s="10" t="str">
        <f t="shared" si="3"/>
        <v/>
      </c>
      <c r="M59" s="6" t="str">
        <f t="shared" si="4"/>
        <v>Da compilare</v>
      </c>
      <c r="N59" s="6" t="str">
        <f t="shared" si="5"/>
        <v>Selezionare stato</v>
      </c>
    </row>
    <row r="60" spans="1:14" ht="15">
      <c r="A60" s="6" t="s">
        <v>176</v>
      </c>
      <c r="B60" s="6" t="s">
        <v>22</v>
      </c>
      <c r="C60" s="6" t="s">
        <v>170</v>
      </c>
      <c r="D60" s="6" t="s">
        <v>177</v>
      </c>
      <c r="E60" s="6"/>
      <c r="F60" s="6"/>
      <c r="G60" s="6" t="s">
        <v>67</v>
      </c>
      <c r="H60" s="9"/>
      <c r="I60" s="6"/>
      <c r="J60" s="6"/>
      <c r="K60" s="6"/>
      <c r="L60" s="10" t="str">
        <f t="shared" si="3"/>
        <v/>
      </c>
      <c r="M60" s="6" t="str">
        <f t="shared" si="4"/>
        <v>Da compilare</v>
      </c>
      <c r="N60" s="6" t="str">
        <f t="shared" si="5"/>
        <v>Selezionare stato</v>
      </c>
    </row>
    <row r="61" spans="1:14" ht="15">
      <c r="A61" s="6" t="s">
        <v>178</v>
      </c>
      <c r="B61" s="6" t="s">
        <v>22</v>
      </c>
      <c r="C61" s="6" t="s">
        <v>170</v>
      </c>
      <c r="D61" s="6" t="s">
        <v>179</v>
      </c>
      <c r="E61" s="6"/>
      <c r="F61" s="6"/>
      <c r="G61" s="6" t="s">
        <v>67</v>
      </c>
      <c r="H61" s="9"/>
      <c r="I61" s="6"/>
      <c r="J61" s="6"/>
      <c r="K61" s="6"/>
      <c r="L61" s="10" t="str">
        <f t="shared" si="3"/>
        <v/>
      </c>
      <c r="M61" s="6" t="str">
        <f t="shared" si="4"/>
        <v>Da compilare</v>
      </c>
      <c r="N61" s="6" t="str">
        <f t="shared" si="5"/>
        <v>Selezionare stato</v>
      </c>
    </row>
    <row r="62" spans="1:14" ht="15">
      <c r="A62" s="6" t="s">
        <v>180</v>
      </c>
      <c r="B62" s="6" t="s">
        <v>22</v>
      </c>
      <c r="C62" s="6" t="s">
        <v>170</v>
      </c>
      <c r="D62" s="6" t="s">
        <v>181</v>
      </c>
      <c r="E62" s="6"/>
      <c r="F62" s="6"/>
      <c r="G62" s="6" t="s">
        <v>67</v>
      </c>
      <c r="H62" s="9"/>
      <c r="I62" s="6"/>
      <c r="J62" s="6"/>
      <c r="K62" s="6"/>
      <c r="L62" s="10" t="str">
        <f t="shared" si="3"/>
        <v/>
      </c>
      <c r="M62" s="6" t="str">
        <f t="shared" si="4"/>
        <v>Da compilare</v>
      </c>
      <c r="N62" s="6" t="str">
        <f t="shared" si="5"/>
        <v>Selezionare stato</v>
      </c>
    </row>
    <row r="63" spans="1:14" ht="15">
      <c r="A63" s="6" t="s">
        <v>182</v>
      </c>
      <c r="B63" s="6" t="s">
        <v>22</v>
      </c>
      <c r="C63" s="6" t="s">
        <v>170</v>
      </c>
      <c r="D63" s="6" t="s">
        <v>183</v>
      </c>
      <c r="E63" s="6"/>
      <c r="F63" s="6"/>
      <c r="G63" s="6" t="s">
        <v>67</v>
      </c>
      <c r="H63" s="9"/>
      <c r="I63" s="6"/>
      <c r="J63" s="6"/>
      <c r="K63" s="6"/>
      <c r="L63" s="10" t="str">
        <f t="shared" si="3"/>
        <v/>
      </c>
      <c r="M63" s="6" t="str">
        <f t="shared" si="4"/>
        <v>Da compilare</v>
      </c>
      <c r="N63" s="6" t="str">
        <f t="shared" si="5"/>
        <v>Selezionare stato</v>
      </c>
    </row>
    <row r="64" spans="1:14" ht="15">
      <c r="A64" s="6" t="s">
        <v>184</v>
      </c>
      <c r="B64" s="6" t="s">
        <v>22</v>
      </c>
      <c r="C64" s="6" t="s">
        <v>170</v>
      </c>
      <c r="D64" s="6" t="s">
        <v>185</v>
      </c>
      <c r="E64" s="6"/>
      <c r="F64" s="6"/>
      <c r="G64" s="6" t="s">
        <v>67</v>
      </c>
      <c r="H64" s="9"/>
      <c r="I64" s="6"/>
      <c r="J64" s="6"/>
      <c r="K64" s="6"/>
      <c r="L64" s="10" t="str">
        <f t="shared" si="3"/>
        <v/>
      </c>
      <c r="M64" s="6" t="str">
        <f t="shared" si="4"/>
        <v>Da compilare</v>
      </c>
      <c r="N64" s="6" t="str">
        <f t="shared" si="5"/>
        <v>Selezionare stato</v>
      </c>
    </row>
    <row r="65" spans="1:14" ht="15">
      <c r="A65" s="6" t="s">
        <v>186</v>
      </c>
      <c r="B65" s="6" t="s">
        <v>23</v>
      </c>
      <c r="C65" s="6" t="s">
        <v>110</v>
      </c>
      <c r="D65" s="6" t="s">
        <v>187</v>
      </c>
      <c r="E65" s="6"/>
      <c r="F65" s="6"/>
      <c r="G65" s="6" t="s">
        <v>188</v>
      </c>
      <c r="H65" s="9"/>
      <c r="I65" s="6"/>
      <c r="J65" s="6"/>
      <c r="K65" s="6"/>
      <c r="L65" s="10" t="str">
        <f t="shared" si="3"/>
        <v/>
      </c>
      <c r="M65" s="6" t="str">
        <f t="shared" si="4"/>
        <v>Da compilare</v>
      </c>
      <c r="N65" s="6" t="str">
        <f t="shared" si="5"/>
        <v>Selezionare stato</v>
      </c>
    </row>
    <row r="66" spans="1:14" ht="15">
      <c r="A66" s="6" t="s">
        <v>189</v>
      </c>
      <c r="B66" s="6" t="s">
        <v>23</v>
      </c>
      <c r="C66" s="6" t="s">
        <v>110</v>
      </c>
      <c r="D66" s="6" t="s">
        <v>190</v>
      </c>
      <c r="E66" s="6"/>
      <c r="F66" s="6"/>
      <c r="G66" s="6" t="s">
        <v>188</v>
      </c>
      <c r="H66" s="9"/>
      <c r="I66" s="6"/>
      <c r="J66" s="6"/>
      <c r="K66" s="6"/>
      <c r="L66" s="10" t="str">
        <f t="shared" si="3"/>
        <v/>
      </c>
      <c r="M66" s="6" t="str">
        <f t="shared" si="4"/>
        <v>Da compilare</v>
      </c>
      <c r="N66" s="6" t="str">
        <f t="shared" si="5"/>
        <v>Selezionare stato</v>
      </c>
    </row>
    <row r="67" spans="1:14" ht="15">
      <c r="A67" s="6" t="s">
        <v>191</v>
      </c>
      <c r="B67" s="6" t="s">
        <v>23</v>
      </c>
      <c r="C67" s="6" t="s">
        <v>110</v>
      </c>
      <c r="D67" s="6" t="s">
        <v>192</v>
      </c>
      <c r="E67" s="6"/>
      <c r="F67" s="6"/>
      <c r="G67" s="6" t="s">
        <v>188</v>
      </c>
      <c r="H67" s="9"/>
      <c r="I67" s="6"/>
      <c r="J67" s="6"/>
      <c r="K67" s="6"/>
      <c r="L67" s="10" t="str">
        <f t="shared" si="3"/>
        <v/>
      </c>
      <c r="M67" s="6" t="str">
        <f t="shared" si="4"/>
        <v>Da compilare</v>
      </c>
      <c r="N67" s="6" t="str">
        <f t="shared" si="5"/>
        <v>Selezionare stato</v>
      </c>
    </row>
    <row r="68" spans="1:14" ht="15">
      <c r="A68" s="6" t="s">
        <v>193</v>
      </c>
      <c r="B68" s="6" t="s">
        <v>23</v>
      </c>
      <c r="C68" s="6" t="s">
        <v>110</v>
      </c>
      <c r="D68" s="6" t="s">
        <v>194</v>
      </c>
      <c r="E68" s="6"/>
      <c r="F68" s="6"/>
      <c r="G68" s="6" t="s">
        <v>188</v>
      </c>
      <c r="H68" s="9"/>
      <c r="I68" s="6"/>
      <c r="J68" s="6"/>
      <c r="K68" s="6"/>
      <c r="L68" s="10" t="str">
        <f t="shared" si="3"/>
        <v/>
      </c>
      <c r="M68" s="6" t="str">
        <f t="shared" si="4"/>
        <v>Da compilare</v>
      </c>
      <c r="N68" s="6" t="str">
        <f t="shared" si="5"/>
        <v>Selezionare stato</v>
      </c>
    </row>
    <row r="69" spans="1:14" ht="15">
      <c r="A69" s="6" t="s">
        <v>195</v>
      </c>
      <c r="B69" s="6" t="s">
        <v>23</v>
      </c>
      <c r="C69" s="6" t="s">
        <v>110</v>
      </c>
      <c r="D69" s="6" t="s">
        <v>196</v>
      </c>
      <c r="E69" s="6"/>
      <c r="F69" s="6"/>
      <c r="G69" s="6" t="s">
        <v>188</v>
      </c>
      <c r="H69" s="9"/>
      <c r="I69" s="6"/>
      <c r="J69" s="6"/>
      <c r="K69" s="6"/>
      <c r="L69" s="10" t="str">
        <f t="shared" si="3"/>
        <v/>
      </c>
      <c r="M69" s="6" t="str">
        <f t="shared" si="4"/>
        <v>Da compilare</v>
      </c>
      <c r="N69" s="6" t="str">
        <f t="shared" si="5"/>
        <v>Selezionare stato</v>
      </c>
    </row>
    <row r="70" spans="1:14" ht="15">
      <c r="A70" s="6" t="s">
        <v>197</v>
      </c>
      <c r="B70" s="6" t="s">
        <v>23</v>
      </c>
      <c r="C70" s="6" t="s">
        <v>110</v>
      </c>
      <c r="D70" s="6" t="s">
        <v>198</v>
      </c>
      <c r="E70" s="6"/>
      <c r="F70" s="6"/>
      <c r="G70" s="6" t="s">
        <v>188</v>
      </c>
      <c r="H70" s="9"/>
      <c r="I70" s="6"/>
      <c r="J70" s="6"/>
      <c r="K70" s="6"/>
      <c r="L70" s="10" t="str">
        <f t="shared" si="3"/>
        <v/>
      </c>
      <c r="M70" s="6" t="str">
        <f t="shared" si="4"/>
        <v>Da compilare</v>
      </c>
      <c r="N70" s="6" t="str">
        <f t="shared" si="5"/>
        <v>Selezionare stato</v>
      </c>
    </row>
    <row r="71" spans="1:14" ht="15">
      <c r="A71" s="6" t="s">
        <v>199</v>
      </c>
      <c r="B71" s="6" t="s">
        <v>23</v>
      </c>
      <c r="C71" s="6" t="s">
        <v>110</v>
      </c>
      <c r="D71" s="6" t="s">
        <v>200</v>
      </c>
      <c r="E71" s="6"/>
      <c r="F71" s="6"/>
      <c r="G71" s="6" t="s">
        <v>188</v>
      </c>
      <c r="H71" s="9"/>
      <c r="I71" s="6"/>
      <c r="J71" s="6"/>
      <c r="K71" s="6"/>
      <c r="L71" s="10" t="str">
        <f t="shared" ref="L71:L102" si="6">IF(E71="OK",1,IF(E71="KO",0,""))</f>
        <v/>
      </c>
      <c r="M71" s="6" t="str">
        <f t="shared" ref="M71:M102" si="7">IF(E71="OK","Conforme",IF(E71="KO","Non conforme",IF(E71="Non applicabile","N/A","Da compilare")))</f>
        <v>Da compilare</v>
      </c>
      <c r="N71" s="6" t="str">
        <f t="shared" ref="N71:N102" si="8">IF(E71="KO","Aprire azione correttiva in sheet Azioni",IF(E71="OK","Archiviare evidenza",IF(E71="Non applicabile","Motivare N/A nelle note","Selezionare stato")))</f>
        <v>Selezionare stato</v>
      </c>
    </row>
    <row r="72" spans="1:14" ht="15">
      <c r="A72" s="6" t="s">
        <v>201</v>
      </c>
      <c r="B72" s="6" t="s">
        <v>23</v>
      </c>
      <c r="C72" s="6" t="s">
        <v>110</v>
      </c>
      <c r="D72" s="6" t="s">
        <v>202</v>
      </c>
      <c r="E72" s="6"/>
      <c r="F72" s="6"/>
      <c r="G72" s="6" t="s">
        <v>188</v>
      </c>
      <c r="H72" s="9"/>
      <c r="I72" s="6"/>
      <c r="J72" s="6"/>
      <c r="K72" s="6"/>
      <c r="L72" s="10" t="str">
        <f t="shared" si="6"/>
        <v/>
      </c>
      <c r="M72" s="6" t="str">
        <f t="shared" si="7"/>
        <v>Da compilare</v>
      </c>
      <c r="N72" s="6" t="str">
        <f t="shared" si="8"/>
        <v>Selezionare stato</v>
      </c>
    </row>
    <row r="73" spans="1:14" ht="15">
      <c r="A73" s="6" t="s">
        <v>203</v>
      </c>
      <c r="B73" s="6" t="s">
        <v>23</v>
      </c>
      <c r="C73" s="6" t="s">
        <v>110</v>
      </c>
      <c r="D73" s="6" t="s">
        <v>204</v>
      </c>
      <c r="E73" s="6"/>
      <c r="F73" s="6"/>
      <c r="G73" s="6" t="s">
        <v>188</v>
      </c>
      <c r="H73" s="9"/>
      <c r="I73" s="6"/>
      <c r="J73" s="6"/>
      <c r="K73" s="6"/>
      <c r="L73" s="10" t="str">
        <f t="shared" si="6"/>
        <v/>
      </c>
      <c r="M73" s="6" t="str">
        <f t="shared" si="7"/>
        <v>Da compilare</v>
      </c>
      <c r="N73" s="6" t="str">
        <f t="shared" si="8"/>
        <v>Selezionare stato</v>
      </c>
    </row>
    <row r="74" spans="1:14" ht="15">
      <c r="A74" s="6" t="s">
        <v>205</v>
      </c>
      <c r="B74" s="6" t="s">
        <v>23</v>
      </c>
      <c r="C74" s="6" t="s">
        <v>110</v>
      </c>
      <c r="D74" s="6" t="s">
        <v>206</v>
      </c>
      <c r="E74" s="6"/>
      <c r="F74" s="6"/>
      <c r="G74" s="6" t="s">
        <v>188</v>
      </c>
      <c r="H74" s="9"/>
      <c r="I74" s="6"/>
      <c r="J74" s="6"/>
      <c r="K74" s="6"/>
      <c r="L74" s="10" t="str">
        <f t="shared" si="6"/>
        <v/>
      </c>
      <c r="M74" s="6" t="str">
        <f t="shared" si="7"/>
        <v>Da compilare</v>
      </c>
      <c r="N74" s="6" t="str">
        <f t="shared" si="8"/>
        <v>Selezionare stato</v>
      </c>
    </row>
    <row r="75" spans="1:14" ht="15">
      <c r="A75" s="6" t="s">
        <v>207</v>
      </c>
      <c r="B75" s="6" t="s">
        <v>23</v>
      </c>
      <c r="C75" s="6" t="s">
        <v>110</v>
      </c>
      <c r="D75" s="6" t="s">
        <v>208</v>
      </c>
      <c r="E75" s="6"/>
      <c r="F75" s="6"/>
      <c r="G75" s="6" t="s">
        <v>188</v>
      </c>
      <c r="H75" s="9"/>
      <c r="I75" s="6"/>
      <c r="J75" s="6"/>
      <c r="K75" s="6"/>
      <c r="L75" s="10" t="str">
        <f t="shared" si="6"/>
        <v/>
      </c>
      <c r="M75" s="6" t="str">
        <f t="shared" si="7"/>
        <v>Da compilare</v>
      </c>
      <c r="N75" s="6" t="str">
        <f t="shared" si="8"/>
        <v>Selezionare stato</v>
      </c>
    </row>
    <row r="76" spans="1:14" ht="15">
      <c r="A76" s="6" t="s">
        <v>209</v>
      </c>
      <c r="B76" s="6" t="s">
        <v>23</v>
      </c>
      <c r="C76" s="6" t="s">
        <v>110</v>
      </c>
      <c r="D76" s="6" t="s">
        <v>210</v>
      </c>
      <c r="E76" s="6"/>
      <c r="F76" s="6"/>
      <c r="G76" s="6" t="s">
        <v>188</v>
      </c>
      <c r="H76" s="9"/>
      <c r="I76" s="6"/>
      <c r="J76" s="6"/>
      <c r="K76" s="6"/>
      <c r="L76" s="10" t="str">
        <f t="shared" si="6"/>
        <v/>
      </c>
      <c r="M76" s="6" t="str">
        <f t="shared" si="7"/>
        <v>Da compilare</v>
      </c>
      <c r="N76" s="6" t="str">
        <f t="shared" si="8"/>
        <v>Selezionare stato</v>
      </c>
    </row>
    <row r="77" spans="1:14" ht="15">
      <c r="A77" s="6" t="s">
        <v>211</v>
      </c>
      <c r="B77" s="6" t="s">
        <v>23</v>
      </c>
      <c r="C77" s="6" t="s">
        <v>110</v>
      </c>
      <c r="D77" s="6" t="s">
        <v>212</v>
      </c>
      <c r="E77" s="6"/>
      <c r="F77" s="6"/>
      <c r="G77" s="6" t="s">
        <v>188</v>
      </c>
      <c r="H77" s="9"/>
      <c r="I77" s="6"/>
      <c r="J77" s="6"/>
      <c r="K77" s="6"/>
      <c r="L77" s="10" t="str">
        <f t="shared" si="6"/>
        <v/>
      </c>
      <c r="M77" s="6" t="str">
        <f t="shared" si="7"/>
        <v>Da compilare</v>
      </c>
      <c r="N77" s="6" t="str">
        <f t="shared" si="8"/>
        <v>Selezionare stato</v>
      </c>
    </row>
    <row r="78" spans="1:14" ht="15">
      <c r="A78" s="6" t="s">
        <v>213</v>
      </c>
      <c r="B78" s="6" t="s">
        <v>23</v>
      </c>
      <c r="C78" s="6" t="s">
        <v>110</v>
      </c>
      <c r="D78" s="6" t="s">
        <v>214</v>
      </c>
      <c r="E78" s="6"/>
      <c r="F78" s="6"/>
      <c r="G78" s="6" t="s">
        <v>188</v>
      </c>
      <c r="H78" s="9"/>
      <c r="I78" s="6"/>
      <c r="J78" s="6"/>
      <c r="K78" s="6"/>
      <c r="L78" s="10" t="str">
        <f t="shared" si="6"/>
        <v/>
      </c>
      <c r="M78" s="6" t="str">
        <f t="shared" si="7"/>
        <v>Da compilare</v>
      </c>
      <c r="N78" s="6" t="str">
        <f t="shared" si="8"/>
        <v>Selezionare stato</v>
      </c>
    </row>
    <row r="79" spans="1:14" ht="15">
      <c r="A79" s="6" t="s">
        <v>215</v>
      </c>
      <c r="B79" s="6" t="s">
        <v>23</v>
      </c>
      <c r="C79" s="6" t="s">
        <v>110</v>
      </c>
      <c r="D79" s="6" t="s">
        <v>216</v>
      </c>
      <c r="E79" s="6"/>
      <c r="F79" s="6"/>
      <c r="G79" s="6" t="s">
        <v>188</v>
      </c>
      <c r="H79" s="9"/>
      <c r="I79" s="6"/>
      <c r="J79" s="6"/>
      <c r="K79" s="6"/>
      <c r="L79" s="10" t="str">
        <f t="shared" si="6"/>
        <v/>
      </c>
      <c r="M79" s="6" t="str">
        <f t="shared" si="7"/>
        <v>Da compilare</v>
      </c>
      <c r="N79" s="6" t="str">
        <f t="shared" si="8"/>
        <v>Selezionare stato</v>
      </c>
    </row>
    <row r="80" spans="1:14" ht="15">
      <c r="A80" s="6" t="s">
        <v>217</v>
      </c>
      <c r="B80" s="6" t="s">
        <v>23</v>
      </c>
      <c r="C80" s="6" t="s">
        <v>110</v>
      </c>
      <c r="D80" s="6" t="s">
        <v>218</v>
      </c>
      <c r="E80" s="6"/>
      <c r="F80" s="6"/>
      <c r="G80" s="6" t="s">
        <v>188</v>
      </c>
      <c r="H80" s="9"/>
      <c r="I80" s="6"/>
      <c r="J80" s="6"/>
      <c r="K80" s="6"/>
      <c r="L80" s="10" t="str">
        <f t="shared" si="6"/>
        <v/>
      </c>
      <c r="M80" s="6" t="str">
        <f t="shared" si="7"/>
        <v>Da compilare</v>
      </c>
      <c r="N80" s="6" t="str">
        <f t="shared" si="8"/>
        <v>Selezionare stato</v>
      </c>
    </row>
    <row r="81" spans="1:14" ht="15">
      <c r="A81" s="6" t="s">
        <v>219</v>
      </c>
      <c r="B81" s="6" t="s">
        <v>23</v>
      </c>
      <c r="C81" s="6" t="s">
        <v>110</v>
      </c>
      <c r="D81" s="6" t="s">
        <v>220</v>
      </c>
      <c r="E81" s="6"/>
      <c r="F81" s="6"/>
      <c r="G81" s="6" t="s">
        <v>188</v>
      </c>
      <c r="H81" s="9"/>
      <c r="I81" s="6"/>
      <c r="J81" s="6"/>
      <c r="K81" s="6"/>
      <c r="L81" s="10" t="str">
        <f t="shared" si="6"/>
        <v/>
      </c>
      <c r="M81" s="6" t="str">
        <f t="shared" si="7"/>
        <v>Da compilare</v>
      </c>
      <c r="N81" s="6" t="str">
        <f t="shared" si="8"/>
        <v>Selezionare stato</v>
      </c>
    </row>
    <row r="82" spans="1:14" ht="15">
      <c r="A82" s="6" t="s">
        <v>221</v>
      </c>
      <c r="B82" s="6" t="s">
        <v>23</v>
      </c>
      <c r="C82" s="6" t="s">
        <v>110</v>
      </c>
      <c r="D82" s="6" t="s">
        <v>222</v>
      </c>
      <c r="E82" s="6"/>
      <c r="F82" s="6"/>
      <c r="G82" s="6" t="s">
        <v>188</v>
      </c>
      <c r="H82" s="9"/>
      <c r="I82" s="6"/>
      <c r="J82" s="6"/>
      <c r="K82" s="6"/>
      <c r="L82" s="10" t="str">
        <f t="shared" si="6"/>
        <v/>
      </c>
      <c r="M82" s="6" t="str">
        <f t="shared" si="7"/>
        <v>Da compilare</v>
      </c>
      <c r="N82" s="6" t="str">
        <f t="shared" si="8"/>
        <v>Selezionare stato</v>
      </c>
    </row>
    <row r="83" spans="1:14" ht="15">
      <c r="A83" s="6" t="s">
        <v>223</v>
      </c>
      <c r="B83" s="6" t="s">
        <v>23</v>
      </c>
      <c r="C83" s="6" t="s">
        <v>110</v>
      </c>
      <c r="D83" s="6" t="s">
        <v>224</v>
      </c>
      <c r="E83" s="6"/>
      <c r="F83" s="6"/>
      <c r="G83" s="6" t="s">
        <v>188</v>
      </c>
      <c r="H83" s="9"/>
      <c r="I83" s="6"/>
      <c r="J83" s="6"/>
      <c r="K83" s="6"/>
      <c r="L83" s="10" t="str">
        <f t="shared" si="6"/>
        <v/>
      </c>
      <c r="M83" s="6" t="str">
        <f t="shared" si="7"/>
        <v>Da compilare</v>
      </c>
      <c r="N83" s="6" t="str">
        <f t="shared" si="8"/>
        <v>Selezionare stato</v>
      </c>
    </row>
    <row r="84" spans="1:14" ht="15">
      <c r="A84" s="6" t="s">
        <v>225</v>
      </c>
      <c r="B84" s="6" t="s">
        <v>23</v>
      </c>
      <c r="C84" s="6" t="s">
        <v>110</v>
      </c>
      <c r="D84" s="6" t="s">
        <v>226</v>
      </c>
      <c r="E84" s="6"/>
      <c r="F84" s="6"/>
      <c r="G84" s="6" t="s">
        <v>188</v>
      </c>
      <c r="H84" s="9"/>
      <c r="I84" s="6"/>
      <c r="J84" s="6"/>
      <c r="K84" s="6"/>
      <c r="L84" s="10" t="str">
        <f t="shared" si="6"/>
        <v/>
      </c>
      <c r="M84" s="6" t="str">
        <f t="shared" si="7"/>
        <v>Da compilare</v>
      </c>
      <c r="N84" s="6" t="str">
        <f t="shared" si="8"/>
        <v>Selezionare stato</v>
      </c>
    </row>
    <row r="85" spans="1:14" ht="15">
      <c r="A85" s="6" t="s">
        <v>227</v>
      </c>
      <c r="B85" s="6" t="s">
        <v>24</v>
      </c>
      <c r="C85" s="6" t="s">
        <v>228</v>
      </c>
      <c r="D85" s="6" t="s">
        <v>229</v>
      </c>
      <c r="E85" s="6" t="s">
        <v>3</v>
      </c>
      <c r="F85" s="6"/>
      <c r="G85" s="6" t="s">
        <v>414</v>
      </c>
      <c r="H85" s="9"/>
      <c r="I85" s="6"/>
      <c r="J85" s="6"/>
      <c r="K85" s="6"/>
      <c r="L85" s="10">
        <f t="shared" si="6"/>
        <v>1</v>
      </c>
      <c r="M85" s="6" t="str">
        <f t="shared" si="7"/>
        <v>Conforme</v>
      </c>
      <c r="N85" s="6" t="str">
        <f t="shared" si="8"/>
        <v>Archiviare evidenza</v>
      </c>
    </row>
    <row r="86" spans="1:14" ht="15">
      <c r="A86" s="6" t="s">
        <v>230</v>
      </c>
      <c r="B86" s="6" t="s">
        <v>24</v>
      </c>
      <c r="C86" s="6" t="s">
        <v>228</v>
      </c>
      <c r="D86" s="6" t="s">
        <v>231</v>
      </c>
      <c r="E86" s="6" t="s">
        <v>3</v>
      </c>
      <c r="F86" s="6"/>
      <c r="G86" s="6" t="s">
        <v>414</v>
      </c>
      <c r="H86" s="9"/>
      <c r="I86" s="6"/>
      <c r="J86" s="6"/>
      <c r="K86" s="6"/>
      <c r="L86" s="10">
        <f t="shared" si="6"/>
        <v>1</v>
      </c>
      <c r="M86" s="6" t="str">
        <f t="shared" si="7"/>
        <v>Conforme</v>
      </c>
      <c r="N86" s="6" t="str">
        <f t="shared" si="8"/>
        <v>Archiviare evidenza</v>
      </c>
    </row>
    <row r="87" spans="1:14" ht="15">
      <c r="A87" s="6" t="s">
        <v>232</v>
      </c>
      <c r="B87" s="6" t="s">
        <v>24</v>
      </c>
      <c r="C87" s="6" t="s">
        <v>228</v>
      </c>
      <c r="D87" s="6" t="s">
        <v>233</v>
      </c>
      <c r="E87" s="6" t="s">
        <v>3</v>
      </c>
      <c r="F87" s="6"/>
      <c r="G87" s="6" t="s">
        <v>188</v>
      </c>
      <c r="H87" s="9"/>
      <c r="I87" s="6"/>
      <c r="J87" s="6"/>
      <c r="K87" s="6"/>
      <c r="L87" s="10">
        <f t="shared" si="6"/>
        <v>1</v>
      </c>
      <c r="M87" s="6" t="str">
        <f t="shared" si="7"/>
        <v>Conforme</v>
      </c>
      <c r="N87" s="6" t="str">
        <f t="shared" si="8"/>
        <v>Archiviare evidenza</v>
      </c>
    </row>
    <row r="88" spans="1:14" ht="15">
      <c r="A88" s="6" t="s">
        <v>234</v>
      </c>
      <c r="B88" s="6" t="s">
        <v>24</v>
      </c>
      <c r="C88" s="6" t="s">
        <v>228</v>
      </c>
      <c r="D88" s="6" t="s">
        <v>235</v>
      </c>
      <c r="E88" s="6" t="s">
        <v>3</v>
      </c>
      <c r="F88" s="6"/>
      <c r="G88" s="6" t="s">
        <v>188</v>
      </c>
      <c r="H88" s="9"/>
      <c r="I88" s="6"/>
      <c r="J88" s="6"/>
      <c r="K88" s="6"/>
      <c r="L88" s="10">
        <f t="shared" si="6"/>
        <v>1</v>
      </c>
      <c r="M88" s="6" t="str">
        <f t="shared" si="7"/>
        <v>Conforme</v>
      </c>
      <c r="N88" s="6" t="str">
        <f t="shared" si="8"/>
        <v>Archiviare evidenza</v>
      </c>
    </row>
    <row r="89" spans="1:14" ht="15">
      <c r="A89" s="6" t="s">
        <v>236</v>
      </c>
      <c r="B89" s="6" t="s">
        <v>24</v>
      </c>
      <c r="C89" s="6" t="s">
        <v>228</v>
      </c>
      <c r="D89" s="6" t="s">
        <v>237</v>
      </c>
      <c r="E89" s="6" t="s">
        <v>3</v>
      </c>
      <c r="F89" s="6"/>
      <c r="G89" s="6" t="s">
        <v>188</v>
      </c>
      <c r="H89" s="9"/>
      <c r="I89" s="6"/>
      <c r="J89" s="6"/>
      <c r="K89" s="6"/>
      <c r="L89" s="10">
        <f t="shared" si="6"/>
        <v>1</v>
      </c>
      <c r="M89" s="6" t="str">
        <f t="shared" si="7"/>
        <v>Conforme</v>
      </c>
      <c r="N89" s="6" t="str">
        <f t="shared" si="8"/>
        <v>Archiviare evidenza</v>
      </c>
    </row>
    <row r="90" spans="1:14" ht="15">
      <c r="A90" s="6" t="s">
        <v>238</v>
      </c>
      <c r="B90" s="6" t="s">
        <v>24</v>
      </c>
      <c r="C90" s="6" t="s">
        <v>228</v>
      </c>
      <c r="D90" s="6" t="s">
        <v>239</v>
      </c>
      <c r="E90" s="6" t="s">
        <v>3</v>
      </c>
      <c r="F90" s="6"/>
      <c r="G90" s="6" t="s">
        <v>188</v>
      </c>
      <c r="H90" s="9"/>
      <c r="I90" s="6"/>
      <c r="J90" s="6"/>
      <c r="K90" s="6"/>
      <c r="L90" s="10">
        <f t="shared" si="6"/>
        <v>1</v>
      </c>
      <c r="M90" s="6" t="str">
        <f t="shared" si="7"/>
        <v>Conforme</v>
      </c>
      <c r="N90" s="6" t="str">
        <f t="shared" si="8"/>
        <v>Archiviare evidenza</v>
      </c>
    </row>
    <row r="91" spans="1:14" ht="15">
      <c r="A91" s="6" t="s">
        <v>240</v>
      </c>
      <c r="B91" s="6" t="s">
        <v>24</v>
      </c>
      <c r="C91" s="6" t="s">
        <v>228</v>
      </c>
      <c r="D91" s="6" t="s">
        <v>241</v>
      </c>
      <c r="E91" s="6" t="s">
        <v>3</v>
      </c>
      <c r="F91" s="6"/>
      <c r="G91" s="6" t="s">
        <v>188</v>
      </c>
      <c r="H91" s="9"/>
      <c r="I91" s="6"/>
      <c r="J91" s="6"/>
      <c r="K91" s="6"/>
      <c r="L91" s="10">
        <f t="shared" si="6"/>
        <v>1</v>
      </c>
      <c r="M91" s="6" t="str">
        <f t="shared" si="7"/>
        <v>Conforme</v>
      </c>
      <c r="N91" s="6" t="str">
        <f t="shared" si="8"/>
        <v>Archiviare evidenza</v>
      </c>
    </row>
    <row r="92" spans="1:14" ht="15">
      <c r="A92" s="6" t="s">
        <v>242</v>
      </c>
      <c r="B92" s="6" t="s">
        <v>24</v>
      </c>
      <c r="C92" s="6" t="s">
        <v>228</v>
      </c>
      <c r="D92" s="6" t="s">
        <v>243</v>
      </c>
      <c r="E92" s="6"/>
      <c r="F92" s="6"/>
      <c r="G92" s="6" t="s">
        <v>188</v>
      </c>
      <c r="H92" s="9"/>
      <c r="I92" s="6"/>
      <c r="J92" s="6"/>
      <c r="K92" s="6"/>
      <c r="L92" s="10" t="str">
        <f t="shared" si="6"/>
        <v/>
      </c>
      <c r="M92" s="6" t="str">
        <f t="shared" si="7"/>
        <v>Da compilare</v>
      </c>
      <c r="N92" s="6" t="str">
        <f t="shared" si="8"/>
        <v>Selezionare stato</v>
      </c>
    </row>
    <row r="93" spans="1:14" ht="15">
      <c r="A93" s="6" t="s">
        <v>244</v>
      </c>
      <c r="B93" s="6" t="s">
        <v>24</v>
      </c>
      <c r="C93" s="6" t="s">
        <v>228</v>
      </c>
      <c r="D93" s="6" t="s">
        <v>245</v>
      </c>
      <c r="E93" s="6"/>
      <c r="F93" s="6"/>
      <c r="G93" s="6" t="s">
        <v>188</v>
      </c>
      <c r="H93" s="9"/>
      <c r="I93" s="6"/>
      <c r="J93" s="6"/>
      <c r="K93" s="6"/>
      <c r="L93" s="10" t="str">
        <f t="shared" si="6"/>
        <v/>
      </c>
      <c r="M93" s="6" t="str">
        <f t="shared" si="7"/>
        <v>Da compilare</v>
      </c>
      <c r="N93" s="6" t="str">
        <f t="shared" si="8"/>
        <v>Selezionare stato</v>
      </c>
    </row>
    <row r="94" spans="1:14" ht="15">
      <c r="A94" s="6" t="s">
        <v>246</v>
      </c>
      <c r="B94" s="6" t="s">
        <v>24</v>
      </c>
      <c r="C94" s="6" t="s">
        <v>228</v>
      </c>
      <c r="D94" s="6" t="s">
        <v>247</v>
      </c>
      <c r="E94" s="6"/>
      <c r="F94" s="6"/>
      <c r="G94" s="6" t="s">
        <v>188</v>
      </c>
      <c r="H94" s="9"/>
      <c r="I94" s="6"/>
      <c r="J94" s="6"/>
      <c r="K94" s="6"/>
      <c r="L94" s="10" t="str">
        <f t="shared" si="6"/>
        <v/>
      </c>
      <c r="M94" s="6" t="str">
        <f t="shared" si="7"/>
        <v>Da compilare</v>
      </c>
      <c r="N94" s="6" t="str">
        <f t="shared" si="8"/>
        <v>Selezionare stato</v>
      </c>
    </row>
    <row r="95" spans="1:14" ht="15">
      <c r="A95" s="6" t="s">
        <v>248</v>
      </c>
      <c r="B95" s="6" t="s">
        <v>25</v>
      </c>
      <c r="C95" s="6" t="s">
        <v>249</v>
      </c>
      <c r="D95" s="6" t="s">
        <v>250</v>
      </c>
      <c r="E95" s="6"/>
      <c r="F95" s="6"/>
      <c r="G95" s="6" t="s">
        <v>67</v>
      </c>
      <c r="H95" s="9"/>
      <c r="I95" s="6"/>
      <c r="J95" s="6"/>
      <c r="K95" s="6"/>
      <c r="L95" s="10" t="str">
        <f t="shared" si="6"/>
        <v/>
      </c>
      <c r="M95" s="6" t="str">
        <f t="shared" si="7"/>
        <v>Da compilare</v>
      </c>
      <c r="N95" s="6" t="str">
        <f t="shared" si="8"/>
        <v>Selezionare stato</v>
      </c>
    </row>
    <row r="96" spans="1:14" ht="15">
      <c r="A96" s="6" t="s">
        <v>251</v>
      </c>
      <c r="B96" s="6" t="s">
        <v>25</v>
      </c>
      <c r="C96" s="6" t="s">
        <v>249</v>
      </c>
      <c r="D96" s="6" t="s">
        <v>252</v>
      </c>
      <c r="E96" s="6"/>
      <c r="F96" s="6"/>
      <c r="G96" s="6" t="s">
        <v>67</v>
      </c>
      <c r="H96" s="9"/>
      <c r="I96" s="6"/>
      <c r="J96" s="6"/>
      <c r="K96" s="6"/>
      <c r="L96" s="10" t="str">
        <f t="shared" si="6"/>
        <v/>
      </c>
      <c r="M96" s="6" t="str">
        <f t="shared" si="7"/>
        <v>Da compilare</v>
      </c>
      <c r="N96" s="6" t="str">
        <f t="shared" si="8"/>
        <v>Selezionare stato</v>
      </c>
    </row>
    <row r="97" spans="1:14" ht="15">
      <c r="A97" s="6" t="s">
        <v>253</v>
      </c>
      <c r="B97" s="6" t="s">
        <v>25</v>
      </c>
      <c r="C97" s="6" t="s">
        <v>249</v>
      </c>
      <c r="D97" s="6" t="s">
        <v>254</v>
      </c>
      <c r="E97" s="6"/>
      <c r="F97" s="6"/>
      <c r="G97" s="6" t="s">
        <v>67</v>
      </c>
      <c r="H97" s="9"/>
      <c r="I97" s="6"/>
      <c r="J97" s="6"/>
      <c r="K97" s="6"/>
      <c r="L97" s="10" t="str">
        <f t="shared" si="6"/>
        <v/>
      </c>
      <c r="M97" s="6" t="str">
        <f t="shared" si="7"/>
        <v>Da compilare</v>
      </c>
      <c r="N97" s="6" t="str">
        <f t="shared" si="8"/>
        <v>Selezionare stato</v>
      </c>
    </row>
    <row r="98" spans="1:14" ht="15">
      <c r="A98" s="6" t="s">
        <v>255</v>
      </c>
      <c r="B98" s="6" t="s">
        <v>25</v>
      </c>
      <c r="C98" s="6" t="s">
        <v>249</v>
      </c>
      <c r="D98" s="6" t="s">
        <v>256</v>
      </c>
      <c r="E98" s="6"/>
      <c r="F98" s="6"/>
      <c r="G98" s="6" t="s">
        <v>67</v>
      </c>
      <c r="H98" s="9"/>
      <c r="I98" s="6"/>
      <c r="J98" s="6"/>
      <c r="K98" s="6"/>
      <c r="L98" s="10" t="str">
        <f t="shared" si="6"/>
        <v/>
      </c>
      <c r="M98" s="6" t="str">
        <f t="shared" si="7"/>
        <v>Da compilare</v>
      </c>
      <c r="N98" s="6" t="str">
        <f t="shared" si="8"/>
        <v>Selezionare stato</v>
      </c>
    </row>
    <row r="99" spans="1:14" ht="15">
      <c r="A99" s="6" t="s">
        <v>257</v>
      </c>
      <c r="B99" s="6" t="s">
        <v>25</v>
      </c>
      <c r="C99" s="6" t="s">
        <v>249</v>
      </c>
      <c r="D99" s="6" t="s">
        <v>258</v>
      </c>
      <c r="E99" s="6"/>
      <c r="F99" s="6"/>
      <c r="G99" s="6" t="s">
        <v>67</v>
      </c>
      <c r="H99" s="9"/>
      <c r="I99" s="6"/>
      <c r="J99" s="6"/>
      <c r="K99" s="6"/>
      <c r="L99" s="10" t="str">
        <f t="shared" si="6"/>
        <v/>
      </c>
      <c r="M99" s="6" t="str">
        <f t="shared" si="7"/>
        <v>Da compilare</v>
      </c>
      <c r="N99" s="6" t="str">
        <f t="shared" si="8"/>
        <v>Selezionare stato</v>
      </c>
    </row>
    <row r="100" spans="1:14" ht="15">
      <c r="A100" s="6" t="s">
        <v>259</v>
      </c>
      <c r="B100" s="6" t="s">
        <v>25</v>
      </c>
      <c r="C100" s="6" t="s">
        <v>249</v>
      </c>
      <c r="D100" s="6" t="s">
        <v>260</v>
      </c>
      <c r="E100" s="6"/>
      <c r="F100" s="6"/>
      <c r="G100" s="6" t="s">
        <v>67</v>
      </c>
      <c r="H100" s="9"/>
      <c r="I100" s="6"/>
      <c r="J100" s="6"/>
      <c r="K100" s="6"/>
      <c r="L100" s="10" t="str">
        <f t="shared" si="6"/>
        <v/>
      </c>
      <c r="M100" s="6" t="str">
        <f t="shared" si="7"/>
        <v>Da compilare</v>
      </c>
      <c r="N100" s="6" t="str">
        <f t="shared" si="8"/>
        <v>Selezionare stato</v>
      </c>
    </row>
    <row r="101" spans="1:14" ht="15">
      <c r="A101" s="6" t="s">
        <v>261</v>
      </c>
      <c r="B101" s="6" t="s">
        <v>26</v>
      </c>
      <c r="C101" s="6" t="s">
        <v>262</v>
      </c>
      <c r="D101" s="6" t="s">
        <v>263</v>
      </c>
      <c r="E101" s="6"/>
      <c r="F101" s="6"/>
      <c r="G101" s="6" t="s">
        <v>67</v>
      </c>
      <c r="H101" s="9"/>
      <c r="I101" s="6"/>
      <c r="J101" s="6"/>
      <c r="K101" s="6"/>
      <c r="L101" s="10" t="str">
        <f t="shared" si="6"/>
        <v/>
      </c>
      <c r="M101" s="6" t="str">
        <f t="shared" si="7"/>
        <v>Da compilare</v>
      </c>
      <c r="N101" s="6" t="str">
        <f t="shared" si="8"/>
        <v>Selezionare stato</v>
      </c>
    </row>
    <row r="102" spans="1:14" ht="15">
      <c r="A102" s="6" t="s">
        <v>264</v>
      </c>
      <c r="B102" s="6" t="s">
        <v>26</v>
      </c>
      <c r="C102" s="6" t="s">
        <v>262</v>
      </c>
      <c r="D102" s="6" t="s">
        <v>265</v>
      </c>
      <c r="E102" s="6"/>
      <c r="F102" s="6"/>
      <c r="G102" s="6" t="s">
        <v>67</v>
      </c>
      <c r="H102" s="9"/>
      <c r="I102" s="6"/>
      <c r="J102" s="6"/>
      <c r="K102" s="6"/>
      <c r="L102" s="10" t="str">
        <f t="shared" si="6"/>
        <v/>
      </c>
      <c r="M102" s="6" t="str">
        <f t="shared" si="7"/>
        <v>Da compilare</v>
      </c>
      <c r="N102" s="6" t="str">
        <f t="shared" si="8"/>
        <v>Selezionare stato</v>
      </c>
    </row>
    <row r="103" spans="1:14" ht="15">
      <c r="A103" s="6" t="s">
        <v>266</v>
      </c>
      <c r="B103" s="6" t="s">
        <v>26</v>
      </c>
      <c r="C103" s="6" t="s">
        <v>262</v>
      </c>
      <c r="D103" s="6" t="s">
        <v>267</v>
      </c>
      <c r="E103" s="6"/>
      <c r="F103" s="6"/>
      <c r="G103" s="6" t="s">
        <v>67</v>
      </c>
      <c r="H103" s="9"/>
      <c r="I103" s="6"/>
      <c r="J103" s="6"/>
      <c r="K103" s="6"/>
      <c r="L103" s="10" t="str">
        <f t="shared" ref="L103:L134" si="9">IF(E103="OK",1,IF(E103="KO",0,""))</f>
        <v/>
      </c>
      <c r="M103" s="6" t="str">
        <f t="shared" ref="M103:M134" si="10">IF(E103="OK","Conforme",IF(E103="KO","Non conforme",IF(E103="Non applicabile","N/A","Da compilare")))</f>
        <v>Da compilare</v>
      </c>
      <c r="N103" s="6" t="str">
        <f t="shared" ref="N103:N134" si="11">IF(E103="KO","Aprire azione correttiva in sheet Azioni",IF(E103="OK","Archiviare evidenza",IF(E103="Non applicabile","Motivare N/A nelle note","Selezionare stato")))</f>
        <v>Selezionare stato</v>
      </c>
    </row>
    <row r="104" spans="1:14" ht="15">
      <c r="A104" s="6" t="s">
        <v>268</v>
      </c>
      <c r="B104" s="6" t="s">
        <v>26</v>
      </c>
      <c r="C104" s="6" t="s">
        <v>262</v>
      </c>
      <c r="D104" s="6" t="s">
        <v>269</v>
      </c>
      <c r="E104" s="6"/>
      <c r="F104" s="6"/>
      <c r="G104" s="6" t="s">
        <v>67</v>
      </c>
      <c r="H104" s="9"/>
      <c r="I104" s="6"/>
      <c r="J104" s="6"/>
      <c r="K104" s="6"/>
      <c r="L104" s="10" t="str">
        <f t="shared" si="9"/>
        <v/>
      </c>
      <c r="M104" s="6" t="str">
        <f t="shared" si="10"/>
        <v>Da compilare</v>
      </c>
      <c r="N104" s="6" t="str">
        <f t="shared" si="11"/>
        <v>Selezionare stato</v>
      </c>
    </row>
    <row r="105" spans="1:14" ht="15">
      <c r="A105" s="6" t="s">
        <v>270</v>
      </c>
      <c r="B105" s="6" t="s">
        <v>26</v>
      </c>
      <c r="C105" s="6" t="s">
        <v>262</v>
      </c>
      <c r="D105" s="6" t="s">
        <v>271</v>
      </c>
      <c r="E105" s="6"/>
      <c r="F105" s="6"/>
      <c r="G105" s="6" t="s">
        <v>67</v>
      </c>
      <c r="H105" s="9"/>
      <c r="I105" s="6"/>
      <c r="J105" s="6"/>
      <c r="K105" s="6"/>
      <c r="L105" s="10" t="str">
        <f t="shared" si="9"/>
        <v/>
      </c>
      <c r="M105" s="6" t="str">
        <f t="shared" si="10"/>
        <v>Da compilare</v>
      </c>
      <c r="N105" s="6" t="str">
        <f t="shared" si="11"/>
        <v>Selezionare stato</v>
      </c>
    </row>
    <row r="106" spans="1:14" ht="15">
      <c r="A106" s="6" t="s">
        <v>272</v>
      </c>
      <c r="B106" s="6" t="s">
        <v>26</v>
      </c>
      <c r="C106" s="6" t="s">
        <v>262</v>
      </c>
      <c r="D106" s="6" t="s">
        <v>273</v>
      </c>
      <c r="E106" s="6"/>
      <c r="F106" s="6"/>
      <c r="G106" s="6" t="s">
        <v>67</v>
      </c>
      <c r="H106" s="9"/>
      <c r="I106" s="6"/>
      <c r="J106" s="6"/>
      <c r="K106" s="6"/>
      <c r="L106" s="10" t="str">
        <f t="shared" si="9"/>
        <v/>
      </c>
      <c r="M106" s="6" t="str">
        <f t="shared" si="10"/>
        <v>Da compilare</v>
      </c>
      <c r="N106" s="6" t="str">
        <f t="shared" si="11"/>
        <v>Selezionare stato</v>
      </c>
    </row>
    <row r="107" spans="1:14" ht="15">
      <c r="A107" s="6" t="s">
        <v>274</v>
      </c>
      <c r="B107" s="6" t="s">
        <v>27</v>
      </c>
      <c r="C107" s="6" t="s">
        <v>275</v>
      </c>
      <c r="D107" s="6" t="s">
        <v>276</v>
      </c>
      <c r="E107" s="6"/>
      <c r="F107" s="6"/>
      <c r="G107" s="6" t="s">
        <v>188</v>
      </c>
      <c r="H107" s="9"/>
      <c r="I107" s="6"/>
      <c r="J107" s="6"/>
      <c r="K107" s="6"/>
      <c r="L107" s="10" t="str">
        <f t="shared" si="9"/>
        <v/>
      </c>
      <c r="M107" s="6" t="str">
        <f t="shared" si="10"/>
        <v>Da compilare</v>
      </c>
      <c r="N107" s="6" t="str">
        <f t="shared" si="11"/>
        <v>Selezionare stato</v>
      </c>
    </row>
    <row r="108" spans="1:14" ht="15">
      <c r="A108" s="6" t="s">
        <v>277</v>
      </c>
      <c r="B108" s="6" t="s">
        <v>27</v>
      </c>
      <c r="C108" s="6" t="s">
        <v>275</v>
      </c>
      <c r="D108" s="6" t="s">
        <v>278</v>
      </c>
      <c r="E108" s="6"/>
      <c r="F108" s="6"/>
      <c r="G108" s="6" t="s">
        <v>188</v>
      </c>
      <c r="H108" s="9"/>
      <c r="I108" s="6"/>
      <c r="J108" s="6"/>
      <c r="K108" s="6"/>
      <c r="L108" s="10" t="str">
        <f t="shared" si="9"/>
        <v/>
      </c>
      <c r="M108" s="6" t="str">
        <f t="shared" si="10"/>
        <v>Da compilare</v>
      </c>
      <c r="N108" s="6" t="str">
        <f t="shared" si="11"/>
        <v>Selezionare stato</v>
      </c>
    </row>
    <row r="109" spans="1:14" ht="15">
      <c r="A109" s="6" t="s">
        <v>279</v>
      </c>
      <c r="B109" s="6" t="s">
        <v>27</v>
      </c>
      <c r="C109" s="6" t="s">
        <v>275</v>
      </c>
      <c r="D109" s="6" t="s">
        <v>280</v>
      </c>
      <c r="E109" s="6"/>
      <c r="F109" s="6"/>
      <c r="G109" s="6" t="s">
        <v>188</v>
      </c>
      <c r="H109" s="9"/>
      <c r="I109" s="6"/>
      <c r="J109" s="6"/>
      <c r="K109" s="6"/>
      <c r="L109" s="10" t="str">
        <f t="shared" si="9"/>
        <v/>
      </c>
      <c r="M109" s="6" t="str">
        <f t="shared" si="10"/>
        <v>Da compilare</v>
      </c>
      <c r="N109" s="6" t="str">
        <f t="shared" si="11"/>
        <v>Selezionare stato</v>
      </c>
    </row>
    <row r="110" spans="1:14" ht="15">
      <c r="A110" s="6" t="s">
        <v>281</v>
      </c>
      <c r="B110" s="6" t="s">
        <v>27</v>
      </c>
      <c r="C110" s="6" t="s">
        <v>275</v>
      </c>
      <c r="D110" s="6" t="s">
        <v>282</v>
      </c>
      <c r="E110" s="6"/>
      <c r="F110" s="6"/>
      <c r="G110" s="6" t="s">
        <v>188</v>
      </c>
      <c r="H110" s="9"/>
      <c r="I110" s="6"/>
      <c r="J110" s="6"/>
      <c r="K110" s="6"/>
      <c r="L110" s="10" t="str">
        <f t="shared" si="9"/>
        <v/>
      </c>
      <c r="M110" s="6" t="str">
        <f t="shared" si="10"/>
        <v>Da compilare</v>
      </c>
      <c r="N110" s="6" t="str">
        <f t="shared" si="11"/>
        <v>Selezionare stato</v>
      </c>
    </row>
    <row r="111" spans="1:14" ht="15">
      <c r="A111" s="6" t="s">
        <v>283</v>
      </c>
      <c r="B111" s="6" t="s">
        <v>27</v>
      </c>
      <c r="C111" s="6" t="s">
        <v>275</v>
      </c>
      <c r="D111" s="6" t="s">
        <v>284</v>
      </c>
      <c r="E111" s="6"/>
      <c r="F111" s="6"/>
      <c r="G111" s="6" t="s">
        <v>188</v>
      </c>
      <c r="H111" s="9"/>
      <c r="I111" s="6"/>
      <c r="J111" s="6"/>
      <c r="K111" s="6"/>
      <c r="L111" s="10" t="str">
        <f t="shared" si="9"/>
        <v/>
      </c>
      <c r="M111" s="6" t="str">
        <f t="shared" si="10"/>
        <v>Da compilare</v>
      </c>
      <c r="N111" s="6" t="str">
        <f t="shared" si="11"/>
        <v>Selezionare stato</v>
      </c>
    </row>
    <row r="112" spans="1:14" ht="15">
      <c r="A112" s="6" t="s">
        <v>285</v>
      </c>
      <c r="B112" s="6" t="s">
        <v>27</v>
      </c>
      <c r="C112" s="6" t="s">
        <v>275</v>
      </c>
      <c r="D112" s="6" t="s">
        <v>286</v>
      </c>
      <c r="E112" s="6"/>
      <c r="F112" s="6"/>
      <c r="G112" s="6" t="s">
        <v>188</v>
      </c>
      <c r="H112" s="9"/>
      <c r="I112" s="6"/>
      <c r="J112" s="6"/>
      <c r="K112" s="6"/>
      <c r="L112" s="10" t="str">
        <f t="shared" si="9"/>
        <v/>
      </c>
      <c r="M112" s="6" t="str">
        <f t="shared" si="10"/>
        <v>Da compilare</v>
      </c>
      <c r="N112" s="6" t="str">
        <f t="shared" si="11"/>
        <v>Selezionare stato</v>
      </c>
    </row>
    <row r="113" spans="1:14" ht="15">
      <c r="A113" s="6" t="s">
        <v>287</v>
      </c>
      <c r="B113" s="6" t="s">
        <v>27</v>
      </c>
      <c r="C113" s="6" t="s">
        <v>275</v>
      </c>
      <c r="D113" s="6" t="s">
        <v>288</v>
      </c>
      <c r="E113" s="6"/>
      <c r="F113" s="6"/>
      <c r="G113" s="6" t="s">
        <v>188</v>
      </c>
      <c r="H113" s="9"/>
      <c r="I113" s="6"/>
      <c r="J113" s="6"/>
      <c r="K113" s="6"/>
      <c r="L113" s="10" t="str">
        <f t="shared" si="9"/>
        <v/>
      </c>
      <c r="M113" s="6" t="str">
        <f t="shared" si="10"/>
        <v>Da compilare</v>
      </c>
      <c r="N113" s="6" t="str">
        <f t="shared" si="11"/>
        <v>Selezionare stato</v>
      </c>
    </row>
    <row r="114" spans="1:14" ht="15">
      <c r="A114" s="6" t="s">
        <v>289</v>
      </c>
      <c r="B114" s="6" t="s">
        <v>27</v>
      </c>
      <c r="C114" s="6" t="s">
        <v>275</v>
      </c>
      <c r="D114" s="6" t="s">
        <v>290</v>
      </c>
      <c r="E114" s="6"/>
      <c r="F114" s="6"/>
      <c r="G114" s="6" t="s">
        <v>188</v>
      </c>
      <c r="H114" s="9"/>
      <c r="I114" s="6"/>
      <c r="J114" s="6"/>
      <c r="K114" s="6"/>
      <c r="L114" s="10" t="str">
        <f t="shared" si="9"/>
        <v/>
      </c>
      <c r="M114" s="6" t="str">
        <f t="shared" si="10"/>
        <v>Da compilare</v>
      </c>
      <c r="N114" s="6" t="str">
        <f t="shared" si="11"/>
        <v>Selezionare stato</v>
      </c>
    </row>
    <row r="115" spans="1:14" ht="15">
      <c r="A115" s="6" t="s">
        <v>291</v>
      </c>
      <c r="B115" s="6" t="s">
        <v>27</v>
      </c>
      <c r="C115" s="6" t="s">
        <v>275</v>
      </c>
      <c r="D115" s="6" t="s">
        <v>292</v>
      </c>
      <c r="E115" s="6"/>
      <c r="F115" s="6"/>
      <c r="G115" s="6" t="s">
        <v>188</v>
      </c>
      <c r="H115" s="9"/>
      <c r="I115" s="6"/>
      <c r="J115" s="6"/>
      <c r="K115" s="6"/>
      <c r="L115" s="10" t="str">
        <f t="shared" si="9"/>
        <v/>
      </c>
      <c r="M115" s="6" t="str">
        <f t="shared" si="10"/>
        <v>Da compilare</v>
      </c>
      <c r="N115" s="6" t="str">
        <f t="shared" si="11"/>
        <v>Selezionare stato</v>
      </c>
    </row>
    <row r="116" spans="1:14" ht="15">
      <c r="A116" s="6" t="s">
        <v>293</v>
      </c>
      <c r="B116" s="6" t="s">
        <v>27</v>
      </c>
      <c r="C116" s="6" t="s">
        <v>275</v>
      </c>
      <c r="D116" s="6" t="s">
        <v>294</v>
      </c>
      <c r="E116" s="6"/>
      <c r="F116" s="6"/>
      <c r="G116" s="6" t="s">
        <v>188</v>
      </c>
      <c r="H116" s="9"/>
      <c r="I116" s="6"/>
      <c r="J116" s="6"/>
      <c r="K116" s="6"/>
      <c r="L116" s="10" t="str">
        <f t="shared" si="9"/>
        <v/>
      </c>
      <c r="M116" s="6" t="str">
        <f t="shared" si="10"/>
        <v>Da compilare</v>
      </c>
      <c r="N116" s="6" t="str">
        <f t="shared" si="11"/>
        <v>Selezionare stato</v>
      </c>
    </row>
    <row r="117" spans="1:14" ht="15">
      <c r="A117" s="6" t="s">
        <v>295</v>
      </c>
      <c r="B117" s="6" t="s">
        <v>28</v>
      </c>
      <c r="C117" s="6" t="s">
        <v>296</v>
      </c>
      <c r="D117" s="6" t="s">
        <v>297</v>
      </c>
      <c r="E117" s="6"/>
      <c r="F117" s="6"/>
      <c r="G117" s="6" t="s">
        <v>188</v>
      </c>
      <c r="H117" s="9"/>
      <c r="I117" s="6"/>
      <c r="J117" s="6"/>
      <c r="K117" s="6"/>
      <c r="L117" s="10" t="str">
        <f t="shared" si="9"/>
        <v/>
      </c>
      <c r="M117" s="6" t="str">
        <f t="shared" si="10"/>
        <v>Da compilare</v>
      </c>
      <c r="N117" s="6" t="str">
        <f t="shared" si="11"/>
        <v>Selezionare stato</v>
      </c>
    </row>
    <row r="118" spans="1:14" ht="15">
      <c r="A118" s="6" t="s">
        <v>298</v>
      </c>
      <c r="B118" s="6" t="s">
        <v>28</v>
      </c>
      <c r="C118" s="6" t="s">
        <v>296</v>
      </c>
      <c r="D118" s="6" t="s">
        <v>299</v>
      </c>
      <c r="E118" s="6"/>
      <c r="F118" s="6"/>
      <c r="G118" s="6" t="s">
        <v>188</v>
      </c>
      <c r="H118" s="9"/>
      <c r="I118" s="6"/>
      <c r="J118" s="6"/>
      <c r="K118" s="6"/>
      <c r="L118" s="10" t="str">
        <f t="shared" si="9"/>
        <v/>
      </c>
      <c r="M118" s="6" t="str">
        <f t="shared" si="10"/>
        <v>Da compilare</v>
      </c>
      <c r="N118" s="6" t="str">
        <f t="shared" si="11"/>
        <v>Selezionare stato</v>
      </c>
    </row>
    <row r="119" spans="1:14" ht="15">
      <c r="A119" s="6" t="s">
        <v>300</v>
      </c>
      <c r="B119" s="6" t="s">
        <v>28</v>
      </c>
      <c r="C119" s="6" t="s">
        <v>296</v>
      </c>
      <c r="D119" s="6" t="s">
        <v>301</v>
      </c>
      <c r="E119" s="6"/>
      <c r="F119" s="6"/>
      <c r="G119" s="6" t="s">
        <v>188</v>
      </c>
      <c r="H119" s="9"/>
      <c r="I119" s="6"/>
      <c r="J119" s="6"/>
      <c r="K119" s="6"/>
      <c r="L119" s="10" t="str">
        <f t="shared" si="9"/>
        <v/>
      </c>
      <c r="M119" s="6" t="str">
        <f t="shared" si="10"/>
        <v>Da compilare</v>
      </c>
      <c r="N119" s="6" t="str">
        <f t="shared" si="11"/>
        <v>Selezionare stato</v>
      </c>
    </row>
    <row r="120" spans="1:14" ht="15">
      <c r="A120" s="6" t="s">
        <v>302</v>
      </c>
      <c r="B120" s="6" t="s">
        <v>28</v>
      </c>
      <c r="C120" s="6" t="s">
        <v>296</v>
      </c>
      <c r="D120" s="6" t="s">
        <v>303</v>
      </c>
      <c r="E120" s="6"/>
      <c r="F120" s="6"/>
      <c r="G120" s="6" t="s">
        <v>188</v>
      </c>
      <c r="H120" s="9"/>
      <c r="I120" s="6"/>
      <c r="J120" s="6"/>
      <c r="K120" s="6"/>
      <c r="L120" s="10" t="str">
        <f t="shared" si="9"/>
        <v/>
      </c>
      <c r="M120" s="6" t="str">
        <f t="shared" si="10"/>
        <v>Da compilare</v>
      </c>
      <c r="N120" s="6" t="str">
        <f t="shared" si="11"/>
        <v>Selezionare stato</v>
      </c>
    </row>
    <row r="121" spans="1:14" ht="15">
      <c r="A121" s="6" t="s">
        <v>304</v>
      </c>
      <c r="B121" s="6" t="s">
        <v>28</v>
      </c>
      <c r="C121" s="6" t="s">
        <v>296</v>
      </c>
      <c r="D121" s="6" t="s">
        <v>305</v>
      </c>
      <c r="E121" s="6"/>
      <c r="F121" s="6"/>
      <c r="G121" s="6" t="s">
        <v>188</v>
      </c>
      <c r="H121" s="9"/>
      <c r="I121" s="6"/>
      <c r="J121" s="6"/>
      <c r="K121" s="6"/>
      <c r="L121" s="10" t="str">
        <f t="shared" si="9"/>
        <v/>
      </c>
      <c r="M121" s="6" t="str">
        <f t="shared" si="10"/>
        <v>Da compilare</v>
      </c>
      <c r="N121" s="6" t="str">
        <f t="shared" si="11"/>
        <v>Selezionare stato</v>
      </c>
    </row>
    <row r="122" spans="1:14" ht="15">
      <c r="A122" s="6" t="s">
        <v>306</v>
      </c>
      <c r="B122" s="6" t="s">
        <v>28</v>
      </c>
      <c r="C122" s="6" t="s">
        <v>296</v>
      </c>
      <c r="D122" s="6" t="s">
        <v>307</v>
      </c>
      <c r="E122" s="6"/>
      <c r="F122" s="6"/>
      <c r="G122" s="6" t="s">
        <v>188</v>
      </c>
      <c r="H122" s="9"/>
      <c r="I122" s="6"/>
      <c r="J122" s="6"/>
      <c r="K122" s="6"/>
      <c r="L122" s="10" t="str">
        <f t="shared" si="9"/>
        <v/>
      </c>
      <c r="M122" s="6" t="str">
        <f t="shared" si="10"/>
        <v>Da compilare</v>
      </c>
      <c r="N122" s="6" t="str">
        <f t="shared" si="11"/>
        <v>Selezionare stato</v>
      </c>
    </row>
    <row r="123" spans="1:14" ht="15">
      <c r="A123" s="6" t="s">
        <v>308</v>
      </c>
      <c r="B123" s="6" t="s">
        <v>28</v>
      </c>
      <c r="C123" s="6" t="s">
        <v>296</v>
      </c>
      <c r="D123" s="6" t="s">
        <v>309</v>
      </c>
      <c r="E123" s="6"/>
      <c r="F123" s="6"/>
      <c r="G123" s="6" t="s">
        <v>188</v>
      </c>
      <c r="H123" s="9"/>
      <c r="I123" s="6"/>
      <c r="J123" s="6"/>
      <c r="K123" s="6"/>
      <c r="L123" s="10" t="str">
        <f t="shared" si="9"/>
        <v/>
      </c>
      <c r="M123" s="6" t="str">
        <f t="shared" si="10"/>
        <v>Da compilare</v>
      </c>
      <c r="N123" s="6" t="str">
        <f t="shared" si="11"/>
        <v>Selezionare stato</v>
      </c>
    </row>
    <row r="124" spans="1:14" ht="15">
      <c r="A124" s="6" t="s">
        <v>310</v>
      </c>
      <c r="B124" s="6" t="s">
        <v>29</v>
      </c>
      <c r="C124" s="6" t="s">
        <v>311</v>
      </c>
      <c r="D124" s="6" t="s">
        <v>312</v>
      </c>
      <c r="E124" s="6"/>
      <c r="F124" s="6"/>
      <c r="G124" s="6" t="s">
        <v>67</v>
      </c>
      <c r="H124" s="9"/>
      <c r="I124" s="6"/>
      <c r="J124" s="6"/>
      <c r="K124" s="6"/>
      <c r="L124" s="10" t="str">
        <f t="shared" si="9"/>
        <v/>
      </c>
      <c r="M124" s="6" t="str">
        <f t="shared" si="10"/>
        <v>Da compilare</v>
      </c>
      <c r="N124" s="6" t="str">
        <f t="shared" si="11"/>
        <v>Selezionare stato</v>
      </c>
    </row>
    <row r="125" spans="1:14" ht="15">
      <c r="A125" s="6" t="s">
        <v>313</v>
      </c>
      <c r="B125" s="6" t="s">
        <v>29</v>
      </c>
      <c r="C125" s="6" t="s">
        <v>311</v>
      </c>
      <c r="D125" s="6" t="s">
        <v>314</v>
      </c>
      <c r="E125" s="6"/>
      <c r="F125" s="6"/>
      <c r="G125" s="6" t="s">
        <v>67</v>
      </c>
      <c r="H125" s="9"/>
      <c r="I125" s="6"/>
      <c r="J125" s="6"/>
      <c r="K125" s="6"/>
      <c r="L125" s="10" t="str">
        <f t="shared" si="9"/>
        <v/>
      </c>
      <c r="M125" s="6" t="str">
        <f t="shared" si="10"/>
        <v>Da compilare</v>
      </c>
      <c r="N125" s="6" t="str">
        <f t="shared" si="11"/>
        <v>Selezionare stato</v>
      </c>
    </row>
    <row r="126" spans="1:14" ht="15">
      <c r="A126" s="6" t="s">
        <v>315</v>
      </c>
      <c r="B126" s="6" t="s">
        <v>29</v>
      </c>
      <c r="C126" s="6" t="s">
        <v>311</v>
      </c>
      <c r="D126" s="6" t="s">
        <v>316</v>
      </c>
      <c r="E126" s="6"/>
      <c r="F126" s="6"/>
      <c r="G126" s="6" t="s">
        <v>67</v>
      </c>
      <c r="H126" s="9"/>
      <c r="I126" s="6"/>
      <c r="J126" s="6"/>
      <c r="K126" s="6"/>
      <c r="L126" s="10" t="str">
        <f t="shared" si="9"/>
        <v/>
      </c>
      <c r="M126" s="6" t="str">
        <f t="shared" si="10"/>
        <v>Da compilare</v>
      </c>
      <c r="N126" s="6" t="str">
        <f t="shared" si="11"/>
        <v>Selezionare stato</v>
      </c>
    </row>
    <row r="127" spans="1:14" ht="15">
      <c r="A127" s="6" t="s">
        <v>317</v>
      </c>
      <c r="B127" s="6" t="s">
        <v>29</v>
      </c>
      <c r="C127" s="6" t="s">
        <v>311</v>
      </c>
      <c r="D127" s="6" t="s">
        <v>318</v>
      </c>
      <c r="E127" s="6"/>
      <c r="F127" s="6"/>
      <c r="G127" s="6" t="s">
        <v>67</v>
      </c>
      <c r="H127" s="9"/>
      <c r="I127" s="6"/>
      <c r="J127" s="6"/>
      <c r="K127" s="6"/>
      <c r="L127" s="10" t="str">
        <f t="shared" si="9"/>
        <v/>
      </c>
      <c r="M127" s="6" t="str">
        <f t="shared" si="10"/>
        <v>Da compilare</v>
      </c>
      <c r="N127" s="6" t="str">
        <f t="shared" si="11"/>
        <v>Selezionare stato</v>
      </c>
    </row>
    <row r="128" spans="1:14" ht="15">
      <c r="A128" s="6" t="s">
        <v>319</v>
      </c>
      <c r="B128" s="6" t="s">
        <v>29</v>
      </c>
      <c r="C128" s="6" t="s">
        <v>311</v>
      </c>
      <c r="D128" s="6" t="s">
        <v>320</v>
      </c>
      <c r="E128" s="6"/>
      <c r="F128" s="6"/>
      <c r="G128" s="6" t="s">
        <v>67</v>
      </c>
      <c r="H128" s="9"/>
      <c r="I128" s="6"/>
      <c r="J128" s="6"/>
      <c r="K128" s="6"/>
      <c r="L128" s="10" t="str">
        <f t="shared" si="9"/>
        <v/>
      </c>
      <c r="M128" s="6" t="str">
        <f t="shared" si="10"/>
        <v>Da compilare</v>
      </c>
      <c r="N128" s="6" t="str">
        <f t="shared" si="11"/>
        <v>Selezionare stato</v>
      </c>
    </row>
    <row r="129" spans="1:14" ht="15">
      <c r="A129" s="6" t="s">
        <v>321</v>
      </c>
      <c r="B129" s="6" t="s">
        <v>29</v>
      </c>
      <c r="C129" s="6" t="s">
        <v>311</v>
      </c>
      <c r="D129" s="6" t="s">
        <v>322</v>
      </c>
      <c r="E129" s="6"/>
      <c r="F129" s="6"/>
      <c r="G129" s="6" t="s">
        <v>67</v>
      </c>
      <c r="H129" s="9"/>
      <c r="I129" s="6"/>
      <c r="J129" s="6"/>
      <c r="K129" s="6"/>
      <c r="L129" s="10" t="str">
        <f t="shared" si="9"/>
        <v/>
      </c>
      <c r="M129" s="6" t="str">
        <f t="shared" si="10"/>
        <v>Da compilare</v>
      </c>
      <c r="N129" s="6" t="str">
        <f t="shared" si="11"/>
        <v>Selezionare stato</v>
      </c>
    </row>
    <row r="130" spans="1:14" ht="15">
      <c r="A130" s="6" t="s">
        <v>323</v>
      </c>
      <c r="B130" s="6" t="s">
        <v>29</v>
      </c>
      <c r="C130" s="6" t="s">
        <v>311</v>
      </c>
      <c r="D130" s="6" t="s">
        <v>324</v>
      </c>
      <c r="E130" s="6"/>
      <c r="F130" s="6"/>
      <c r="G130" s="6" t="s">
        <v>67</v>
      </c>
      <c r="H130" s="9"/>
      <c r="I130" s="6"/>
      <c r="J130" s="6"/>
      <c r="K130" s="6"/>
      <c r="L130" s="10" t="str">
        <f t="shared" si="9"/>
        <v/>
      </c>
      <c r="M130" s="6" t="str">
        <f t="shared" si="10"/>
        <v>Da compilare</v>
      </c>
      <c r="N130" s="6" t="str">
        <f t="shared" si="11"/>
        <v>Selezionare stato</v>
      </c>
    </row>
    <row r="131" spans="1:14" ht="15">
      <c r="A131" s="6" t="s">
        <v>325</v>
      </c>
      <c r="B131" s="6" t="s">
        <v>29</v>
      </c>
      <c r="C131" s="6" t="s">
        <v>311</v>
      </c>
      <c r="D131" s="6" t="s">
        <v>326</v>
      </c>
      <c r="E131" s="6"/>
      <c r="F131" s="6"/>
      <c r="G131" s="6" t="s">
        <v>67</v>
      </c>
      <c r="H131" s="9"/>
      <c r="I131" s="6"/>
      <c r="J131" s="6"/>
      <c r="K131" s="6"/>
      <c r="L131" s="10" t="str">
        <f t="shared" si="9"/>
        <v/>
      </c>
      <c r="M131" s="6" t="str">
        <f t="shared" si="10"/>
        <v>Da compilare</v>
      </c>
      <c r="N131" s="6" t="str">
        <f t="shared" si="11"/>
        <v>Selezionare stato</v>
      </c>
    </row>
    <row r="132" spans="1:14" ht="15">
      <c r="A132" s="6" t="s">
        <v>327</v>
      </c>
      <c r="B132" s="6" t="s">
        <v>29</v>
      </c>
      <c r="C132" s="6" t="s">
        <v>311</v>
      </c>
      <c r="D132" s="6" t="s">
        <v>328</v>
      </c>
      <c r="E132" s="6"/>
      <c r="F132" s="6"/>
      <c r="G132" s="6" t="s">
        <v>67</v>
      </c>
      <c r="H132" s="9"/>
      <c r="I132" s="6"/>
      <c r="J132" s="6"/>
      <c r="K132" s="6"/>
      <c r="L132" s="10" t="str">
        <f t="shared" si="9"/>
        <v/>
      </c>
      <c r="M132" s="6" t="str">
        <f t="shared" si="10"/>
        <v>Da compilare</v>
      </c>
      <c r="N132" s="6" t="str">
        <f t="shared" si="11"/>
        <v>Selezionare stato</v>
      </c>
    </row>
    <row r="133" spans="1:14" ht="15">
      <c r="A133" s="6" t="s">
        <v>329</v>
      </c>
      <c r="B133" s="6" t="s">
        <v>29</v>
      </c>
      <c r="C133" s="6" t="s">
        <v>311</v>
      </c>
      <c r="D133" s="6" t="s">
        <v>330</v>
      </c>
      <c r="E133" s="6"/>
      <c r="F133" s="6"/>
      <c r="G133" s="6" t="s">
        <v>67</v>
      </c>
      <c r="H133" s="9"/>
      <c r="I133" s="6"/>
      <c r="J133" s="6"/>
      <c r="K133" s="6"/>
      <c r="L133" s="10" t="str">
        <f t="shared" si="9"/>
        <v/>
      </c>
      <c r="M133" s="6" t="str">
        <f t="shared" si="10"/>
        <v>Da compilare</v>
      </c>
      <c r="N133" s="6" t="str">
        <f t="shared" si="11"/>
        <v>Selezionare stato</v>
      </c>
    </row>
    <row r="134" spans="1:14" ht="30">
      <c r="A134" s="6" t="s">
        <v>331</v>
      </c>
      <c r="B134" s="6" t="s">
        <v>30</v>
      </c>
      <c r="C134" s="6" t="s">
        <v>332</v>
      </c>
      <c r="D134" s="6" t="s">
        <v>333</v>
      </c>
      <c r="E134" s="6"/>
      <c r="F134" s="6"/>
      <c r="G134" s="6" t="s">
        <v>188</v>
      </c>
      <c r="H134" s="9"/>
      <c r="I134" s="6"/>
      <c r="J134" s="6"/>
      <c r="K134" s="6"/>
      <c r="L134" s="10" t="str">
        <f t="shared" si="9"/>
        <v/>
      </c>
      <c r="M134" s="6" t="str">
        <f t="shared" si="10"/>
        <v>Da compilare</v>
      </c>
      <c r="N134" s="6" t="str">
        <f t="shared" si="11"/>
        <v>Selezionare stato</v>
      </c>
    </row>
    <row r="135" spans="1:14" ht="30">
      <c r="A135" s="6" t="s">
        <v>334</v>
      </c>
      <c r="B135" s="6" t="s">
        <v>30</v>
      </c>
      <c r="C135" s="6" t="s">
        <v>332</v>
      </c>
      <c r="D135" s="6" t="s">
        <v>335</v>
      </c>
      <c r="E135" s="6"/>
      <c r="F135" s="6"/>
      <c r="G135" s="6" t="s">
        <v>188</v>
      </c>
      <c r="H135" s="9"/>
      <c r="I135" s="6"/>
      <c r="J135" s="6"/>
      <c r="K135" s="6"/>
      <c r="L135" s="10" t="str">
        <f t="shared" ref="L135:L156" si="12">IF(E135="OK",1,IF(E135="KO",0,""))</f>
        <v/>
      </c>
      <c r="M135" s="6" t="str">
        <f t="shared" ref="M135:M156" si="13">IF(E135="OK","Conforme",IF(E135="KO","Non conforme",IF(E135="Non applicabile","N/A","Da compilare")))</f>
        <v>Da compilare</v>
      </c>
      <c r="N135" s="6" t="str">
        <f t="shared" ref="N135:N156" si="14">IF(E135="KO","Aprire azione correttiva in sheet Azioni",IF(E135="OK","Archiviare evidenza",IF(E135="Non applicabile","Motivare N/A nelle note","Selezionare stato")))</f>
        <v>Selezionare stato</v>
      </c>
    </row>
    <row r="136" spans="1:14" ht="30">
      <c r="A136" s="6" t="s">
        <v>336</v>
      </c>
      <c r="B136" s="6" t="s">
        <v>30</v>
      </c>
      <c r="C136" s="6" t="s">
        <v>332</v>
      </c>
      <c r="D136" s="6" t="s">
        <v>337</v>
      </c>
      <c r="E136" s="6"/>
      <c r="F136" s="6"/>
      <c r="G136" s="6" t="s">
        <v>188</v>
      </c>
      <c r="H136" s="9"/>
      <c r="I136" s="6"/>
      <c r="J136" s="6"/>
      <c r="K136" s="6"/>
      <c r="L136" s="10" t="str">
        <f t="shared" si="12"/>
        <v/>
      </c>
      <c r="M136" s="6" t="str">
        <f t="shared" si="13"/>
        <v>Da compilare</v>
      </c>
      <c r="N136" s="6" t="str">
        <f t="shared" si="14"/>
        <v>Selezionare stato</v>
      </c>
    </row>
    <row r="137" spans="1:14" ht="30">
      <c r="A137" s="6" t="s">
        <v>338</v>
      </c>
      <c r="B137" s="6" t="s">
        <v>30</v>
      </c>
      <c r="C137" s="6" t="s">
        <v>332</v>
      </c>
      <c r="D137" s="6" t="s">
        <v>339</v>
      </c>
      <c r="E137" s="6"/>
      <c r="F137" s="6"/>
      <c r="G137" s="6" t="s">
        <v>188</v>
      </c>
      <c r="H137" s="9"/>
      <c r="I137" s="6"/>
      <c r="J137" s="6"/>
      <c r="K137" s="6"/>
      <c r="L137" s="10" t="str">
        <f t="shared" si="12"/>
        <v/>
      </c>
      <c r="M137" s="6" t="str">
        <f t="shared" si="13"/>
        <v>Da compilare</v>
      </c>
      <c r="N137" s="6" t="str">
        <f t="shared" si="14"/>
        <v>Selezionare stato</v>
      </c>
    </row>
    <row r="138" spans="1:14" ht="30">
      <c r="A138" s="6" t="s">
        <v>340</v>
      </c>
      <c r="B138" s="6" t="s">
        <v>30</v>
      </c>
      <c r="C138" s="6" t="s">
        <v>332</v>
      </c>
      <c r="D138" s="6" t="s">
        <v>341</v>
      </c>
      <c r="E138" s="6"/>
      <c r="F138" s="6"/>
      <c r="G138" s="6" t="s">
        <v>188</v>
      </c>
      <c r="H138" s="9"/>
      <c r="I138" s="6"/>
      <c r="J138" s="6"/>
      <c r="K138" s="6"/>
      <c r="L138" s="10" t="str">
        <f t="shared" si="12"/>
        <v/>
      </c>
      <c r="M138" s="6" t="str">
        <f t="shared" si="13"/>
        <v>Da compilare</v>
      </c>
      <c r="N138" s="6" t="str">
        <f t="shared" si="14"/>
        <v>Selezionare stato</v>
      </c>
    </row>
    <row r="139" spans="1:14" ht="30">
      <c r="A139" s="6" t="s">
        <v>342</v>
      </c>
      <c r="B139" s="6" t="s">
        <v>30</v>
      </c>
      <c r="C139" s="6" t="s">
        <v>332</v>
      </c>
      <c r="D139" s="6" t="s">
        <v>343</v>
      </c>
      <c r="E139" s="6"/>
      <c r="F139" s="6"/>
      <c r="G139" s="6" t="s">
        <v>188</v>
      </c>
      <c r="H139" s="9"/>
      <c r="I139" s="6"/>
      <c r="J139" s="6"/>
      <c r="K139" s="6"/>
      <c r="L139" s="10" t="str">
        <f t="shared" si="12"/>
        <v/>
      </c>
      <c r="M139" s="6" t="str">
        <f t="shared" si="13"/>
        <v>Da compilare</v>
      </c>
      <c r="N139" s="6" t="str">
        <f t="shared" si="14"/>
        <v>Selezionare stato</v>
      </c>
    </row>
    <row r="140" spans="1:14" ht="30">
      <c r="A140" s="6" t="s">
        <v>344</v>
      </c>
      <c r="B140" s="6" t="s">
        <v>30</v>
      </c>
      <c r="C140" s="6" t="s">
        <v>332</v>
      </c>
      <c r="D140" s="6" t="s">
        <v>345</v>
      </c>
      <c r="E140" s="6"/>
      <c r="F140" s="6"/>
      <c r="G140" s="6" t="s">
        <v>188</v>
      </c>
      <c r="H140" s="9"/>
      <c r="I140" s="6"/>
      <c r="J140" s="6"/>
      <c r="K140" s="6"/>
      <c r="L140" s="10" t="str">
        <f t="shared" si="12"/>
        <v/>
      </c>
      <c r="M140" s="6" t="str">
        <f t="shared" si="13"/>
        <v>Da compilare</v>
      </c>
      <c r="N140" s="6" t="str">
        <f t="shared" si="14"/>
        <v>Selezionare stato</v>
      </c>
    </row>
    <row r="141" spans="1:14" ht="30">
      <c r="A141" s="6" t="s">
        <v>346</v>
      </c>
      <c r="B141" s="6" t="s">
        <v>30</v>
      </c>
      <c r="C141" s="6" t="s">
        <v>332</v>
      </c>
      <c r="D141" s="6" t="s">
        <v>347</v>
      </c>
      <c r="E141" s="6"/>
      <c r="F141" s="6"/>
      <c r="G141" s="6" t="s">
        <v>188</v>
      </c>
      <c r="H141" s="9"/>
      <c r="I141" s="6"/>
      <c r="J141" s="6"/>
      <c r="K141" s="6"/>
      <c r="L141" s="10" t="str">
        <f t="shared" si="12"/>
        <v/>
      </c>
      <c r="M141" s="6" t="str">
        <f t="shared" si="13"/>
        <v>Da compilare</v>
      </c>
      <c r="N141" s="6" t="str">
        <f t="shared" si="14"/>
        <v>Selezionare stato</v>
      </c>
    </row>
    <row r="142" spans="1:14" ht="30">
      <c r="A142" s="6" t="s">
        <v>348</v>
      </c>
      <c r="B142" s="6" t="s">
        <v>30</v>
      </c>
      <c r="C142" s="6" t="s">
        <v>332</v>
      </c>
      <c r="D142" s="6" t="s">
        <v>349</v>
      </c>
      <c r="E142" s="6"/>
      <c r="F142" s="6"/>
      <c r="G142" s="6" t="s">
        <v>188</v>
      </c>
      <c r="H142" s="9"/>
      <c r="I142" s="6"/>
      <c r="J142" s="6"/>
      <c r="K142" s="6"/>
      <c r="L142" s="10" t="str">
        <f t="shared" si="12"/>
        <v/>
      </c>
      <c r="M142" s="6" t="str">
        <f t="shared" si="13"/>
        <v>Da compilare</v>
      </c>
      <c r="N142" s="6" t="str">
        <f t="shared" si="14"/>
        <v>Selezionare stato</v>
      </c>
    </row>
    <row r="143" spans="1:14" ht="30">
      <c r="A143" s="6" t="s">
        <v>350</v>
      </c>
      <c r="B143" s="6" t="s">
        <v>30</v>
      </c>
      <c r="C143" s="6" t="s">
        <v>332</v>
      </c>
      <c r="D143" s="6" t="s">
        <v>351</v>
      </c>
      <c r="E143" s="6"/>
      <c r="F143" s="6"/>
      <c r="G143" s="6" t="s">
        <v>188</v>
      </c>
      <c r="H143" s="9"/>
      <c r="I143" s="6"/>
      <c r="J143" s="6"/>
      <c r="K143" s="6"/>
      <c r="L143" s="10" t="str">
        <f t="shared" si="12"/>
        <v/>
      </c>
      <c r="M143" s="6" t="str">
        <f t="shared" si="13"/>
        <v>Da compilare</v>
      </c>
      <c r="N143" s="6" t="str">
        <f t="shared" si="14"/>
        <v>Selezionare stato</v>
      </c>
    </row>
    <row r="144" spans="1:14" ht="30">
      <c r="A144" s="6" t="s">
        <v>352</v>
      </c>
      <c r="B144" s="6" t="s">
        <v>30</v>
      </c>
      <c r="C144" s="6" t="s">
        <v>332</v>
      </c>
      <c r="D144" s="6" t="s">
        <v>353</v>
      </c>
      <c r="E144" s="6"/>
      <c r="F144" s="6"/>
      <c r="G144" s="6" t="s">
        <v>188</v>
      </c>
      <c r="H144" s="9"/>
      <c r="I144" s="6"/>
      <c r="J144" s="6"/>
      <c r="K144" s="6"/>
      <c r="L144" s="10" t="str">
        <f t="shared" si="12"/>
        <v/>
      </c>
      <c r="M144" s="6" t="str">
        <f t="shared" si="13"/>
        <v>Da compilare</v>
      </c>
      <c r="N144" s="6" t="str">
        <f t="shared" si="14"/>
        <v>Selezionare stato</v>
      </c>
    </row>
    <row r="145" spans="1:14" ht="15">
      <c r="A145" s="6" t="s">
        <v>354</v>
      </c>
      <c r="B145" s="6" t="s">
        <v>31</v>
      </c>
      <c r="C145" s="6" t="s">
        <v>355</v>
      </c>
      <c r="D145" s="6" t="s">
        <v>356</v>
      </c>
      <c r="E145" s="6"/>
      <c r="F145" s="6"/>
      <c r="G145" s="6" t="s">
        <v>67</v>
      </c>
      <c r="H145" s="9"/>
      <c r="I145" s="6"/>
      <c r="J145" s="6"/>
      <c r="K145" s="6"/>
      <c r="L145" s="10" t="str">
        <f t="shared" si="12"/>
        <v/>
      </c>
      <c r="M145" s="6" t="str">
        <f t="shared" si="13"/>
        <v>Da compilare</v>
      </c>
      <c r="N145" s="6" t="str">
        <f t="shared" si="14"/>
        <v>Selezionare stato</v>
      </c>
    </row>
    <row r="146" spans="1:14" ht="15">
      <c r="A146" s="6" t="s">
        <v>357</v>
      </c>
      <c r="B146" s="6" t="s">
        <v>31</v>
      </c>
      <c r="C146" s="6" t="s">
        <v>355</v>
      </c>
      <c r="D146" s="6" t="s">
        <v>358</v>
      </c>
      <c r="E146" s="6"/>
      <c r="F146" s="6"/>
      <c r="G146" s="6" t="s">
        <v>67</v>
      </c>
      <c r="H146" s="9"/>
      <c r="I146" s="6"/>
      <c r="J146" s="6"/>
      <c r="K146" s="6"/>
      <c r="L146" s="10" t="str">
        <f t="shared" si="12"/>
        <v/>
      </c>
      <c r="M146" s="6" t="str">
        <f t="shared" si="13"/>
        <v>Da compilare</v>
      </c>
      <c r="N146" s="6" t="str">
        <f t="shared" si="14"/>
        <v>Selezionare stato</v>
      </c>
    </row>
    <row r="147" spans="1:14" ht="15">
      <c r="A147" s="6" t="s">
        <v>359</v>
      </c>
      <c r="B147" s="6" t="s">
        <v>31</v>
      </c>
      <c r="C147" s="6" t="s">
        <v>355</v>
      </c>
      <c r="D147" s="6" t="s">
        <v>360</v>
      </c>
      <c r="E147" s="6"/>
      <c r="F147" s="6"/>
      <c r="G147" s="6" t="s">
        <v>67</v>
      </c>
      <c r="H147" s="9"/>
      <c r="I147" s="6"/>
      <c r="J147" s="6"/>
      <c r="K147" s="6"/>
      <c r="L147" s="10" t="str">
        <f t="shared" si="12"/>
        <v/>
      </c>
      <c r="M147" s="6" t="str">
        <f t="shared" si="13"/>
        <v>Da compilare</v>
      </c>
      <c r="N147" s="6" t="str">
        <f t="shared" si="14"/>
        <v>Selezionare stato</v>
      </c>
    </row>
    <row r="148" spans="1:14" ht="15">
      <c r="A148" s="6" t="s">
        <v>361</v>
      </c>
      <c r="B148" s="6" t="s">
        <v>31</v>
      </c>
      <c r="C148" s="6" t="s">
        <v>355</v>
      </c>
      <c r="D148" s="6" t="s">
        <v>362</v>
      </c>
      <c r="E148" s="6"/>
      <c r="F148" s="6"/>
      <c r="G148" s="6" t="s">
        <v>67</v>
      </c>
      <c r="H148" s="9"/>
      <c r="I148" s="6"/>
      <c r="J148" s="6"/>
      <c r="K148" s="6"/>
      <c r="L148" s="10" t="str">
        <f t="shared" si="12"/>
        <v/>
      </c>
      <c r="M148" s="6" t="str">
        <f t="shared" si="13"/>
        <v>Da compilare</v>
      </c>
      <c r="N148" s="6" t="str">
        <f t="shared" si="14"/>
        <v>Selezionare stato</v>
      </c>
    </row>
    <row r="149" spans="1:14" ht="15">
      <c r="A149" s="6" t="s">
        <v>363</v>
      </c>
      <c r="B149" s="6" t="s">
        <v>31</v>
      </c>
      <c r="C149" s="6" t="s">
        <v>355</v>
      </c>
      <c r="D149" s="6" t="s">
        <v>364</v>
      </c>
      <c r="E149" s="6"/>
      <c r="F149" s="6"/>
      <c r="G149" s="6" t="s">
        <v>67</v>
      </c>
      <c r="H149" s="9"/>
      <c r="I149" s="6"/>
      <c r="J149" s="6"/>
      <c r="K149" s="6"/>
      <c r="L149" s="10" t="str">
        <f t="shared" si="12"/>
        <v/>
      </c>
      <c r="M149" s="6" t="str">
        <f t="shared" si="13"/>
        <v>Da compilare</v>
      </c>
      <c r="N149" s="6" t="str">
        <f t="shared" si="14"/>
        <v>Selezionare stato</v>
      </c>
    </row>
    <row r="150" spans="1:14" ht="15">
      <c r="A150" s="6" t="s">
        <v>365</v>
      </c>
      <c r="B150" s="6" t="s">
        <v>31</v>
      </c>
      <c r="C150" s="6" t="s">
        <v>355</v>
      </c>
      <c r="D150" s="6" t="s">
        <v>366</v>
      </c>
      <c r="E150" s="6"/>
      <c r="F150" s="6"/>
      <c r="G150" s="6" t="s">
        <v>67</v>
      </c>
      <c r="H150" s="9"/>
      <c r="I150" s="6"/>
      <c r="J150" s="6"/>
      <c r="K150" s="6"/>
      <c r="L150" s="10" t="str">
        <f t="shared" si="12"/>
        <v/>
      </c>
      <c r="M150" s="6" t="str">
        <f t="shared" si="13"/>
        <v>Da compilare</v>
      </c>
      <c r="N150" s="6" t="str">
        <f t="shared" si="14"/>
        <v>Selezionare stato</v>
      </c>
    </row>
    <row r="151" spans="1:14" ht="15">
      <c r="A151" s="6" t="s">
        <v>367</v>
      </c>
      <c r="B151" s="6" t="s">
        <v>31</v>
      </c>
      <c r="C151" s="6" t="s">
        <v>355</v>
      </c>
      <c r="D151" s="6" t="s">
        <v>368</v>
      </c>
      <c r="E151" s="6"/>
      <c r="F151" s="6"/>
      <c r="G151" s="6" t="s">
        <v>67</v>
      </c>
      <c r="H151" s="9"/>
      <c r="I151" s="6"/>
      <c r="J151" s="6"/>
      <c r="K151" s="6"/>
      <c r="L151" s="10" t="str">
        <f t="shared" si="12"/>
        <v/>
      </c>
      <c r="M151" s="6" t="str">
        <f t="shared" si="13"/>
        <v>Da compilare</v>
      </c>
      <c r="N151" s="6" t="str">
        <f t="shared" si="14"/>
        <v>Selezionare stato</v>
      </c>
    </row>
    <row r="152" spans="1:14" ht="15">
      <c r="A152" s="6" t="s">
        <v>369</v>
      </c>
      <c r="B152" s="6" t="s">
        <v>31</v>
      </c>
      <c r="C152" s="6" t="s">
        <v>355</v>
      </c>
      <c r="D152" s="6" t="s">
        <v>370</v>
      </c>
      <c r="E152" s="6"/>
      <c r="F152" s="6"/>
      <c r="G152" s="6" t="s">
        <v>67</v>
      </c>
      <c r="H152" s="9"/>
      <c r="I152" s="6"/>
      <c r="J152" s="6"/>
      <c r="K152" s="6"/>
      <c r="L152" s="10" t="str">
        <f t="shared" si="12"/>
        <v/>
      </c>
      <c r="M152" s="6" t="str">
        <f t="shared" si="13"/>
        <v>Da compilare</v>
      </c>
      <c r="N152" s="6" t="str">
        <f t="shared" si="14"/>
        <v>Selezionare stato</v>
      </c>
    </row>
    <row r="153" spans="1:14" ht="15">
      <c r="A153" s="6" t="s">
        <v>371</v>
      </c>
      <c r="B153" s="6" t="s">
        <v>31</v>
      </c>
      <c r="C153" s="6" t="s">
        <v>355</v>
      </c>
      <c r="D153" s="6" t="s">
        <v>372</v>
      </c>
      <c r="E153" s="6"/>
      <c r="F153" s="6"/>
      <c r="G153" s="6" t="s">
        <v>67</v>
      </c>
      <c r="H153" s="9"/>
      <c r="I153" s="6"/>
      <c r="J153" s="6"/>
      <c r="K153" s="6"/>
      <c r="L153" s="10" t="str">
        <f t="shared" si="12"/>
        <v/>
      </c>
      <c r="M153" s="6" t="str">
        <f t="shared" si="13"/>
        <v>Da compilare</v>
      </c>
      <c r="N153" s="6" t="str">
        <f t="shared" si="14"/>
        <v>Selezionare stato</v>
      </c>
    </row>
    <row r="154" spans="1:14" ht="15">
      <c r="A154" s="6" t="s">
        <v>373</v>
      </c>
      <c r="B154" s="6" t="s">
        <v>31</v>
      </c>
      <c r="C154" s="6" t="s">
        <v>355</v>
      </c>
      <c r="D154" s="6" t="s">
        <v>374</v>
      </c>
      <c r="E154" s="6"/>
      <c r="F154" s="6"/>
      <c r="G154" s="6" t="s">
        <v>67</v>
      </c>
      <c r="H154" s="9"/>
      <c r="I154" s="6"/>
      <c r="J154" s="6"/>
      <c r="K154" s="6"/>
      <c r="L154" s="10" t="str">
        <f t="shared" si="12"/>
        <v/>
      </c>
      <c r="M154" s="6" t="str">
        <f t="shared" si="13"/>
        <v>Da compilare</v>
      </c>
      <c r="N154" s="6" t="str">
        <f t="shared" si="14"/>
        <v>Selezionare stato</v>
      </c>
    </row>
    <row r="155" spans="1:14" ht="15">
      <c r="A155" s="6" t="s">
        <v>375</v>
      </c>
      <c r="B155" s="6" t="s">
        <v>31</v>
      </c>
      <c r="C155" s="6" t="s">
        <v>355</v>
      </c>
      <c r="D155" s="6" t="s">
        <v>376</v>
      </c>
      <c r="E155" s="6"/>
      <c r="F155" s="6"/>
      <c r="G155" s="6" t="s">
        <v>67</v>
      </c>
      <c r="H155" s="9"/>
      <c r="I155" s="6"/>
      <c r="J155" s="6"/>
      <c r="K155" s="6"/>
      <c r="L155" s="10" t="str">
        <f t="shared" si="12"/>
        <v/>
      </c>
      <c r="M155" s="6" t="str">
        <f t="shared" si="13"/>
        <v>Da compilare</v>
      </c>
      <c r="N155" s="6" t="str">
        <f t="shared" si="14"/>
        <v>Selezionare stato</v>
      </c>
    </row>
    <row r="156" spans="1:14" ht="15">
      <c r="A156" s="6" t="s">
        <v>377</v>
      </c>
      <c r="B156" s="6" t="s">
        <v>31</v>
      </c>
      <c r="C156" s="6" t="s">
        <v>355</v>
      </c>
      <c r="D156" s="6" t="s">
        <v>378</v>
      </c>
      <c r="E156" s="6"/>
      <c r="F156" s="6"/>
      <c r="G156" s="6" t="s">
        <v>67</v>
      </c>
      <c r="H156" s="9"/>
      <c r="I156" s="6"/>
      <c r="J156" s="6"/>
      <c r="K156" s="6"/>
      <c r="L156" s="10" t="str">
        <f t="shared" si="12"/>
        <v/>
      </c>
      <c r="M156" s="6" t="str">
        <f t="shared" si="13"/>
        <v>Da compilare</v>
      </c>
      <c r="N156" s="6" t="str">
        <f t="shared" si="14"/>
        <v>Selezionare stato</v>
      </c>
    </row>
  </sheetData>
  <mergeCells count="1">
    <mergeCell ref="A1:N1"/>
  </mergeCells>
  <conditionalFormatting sqref="E7:E156">
    <cfRule type="expression" dxfId="16" priority="1">
      <formula>E7="OK"</formula>
    </cfRule>
    <cfRule type="expression" dxfId="15" priority="2">
      <formula>E7="KO"</formula>
    </cfRule>
    <cfRule type="expression" dxfId="14" priority="3">
      <formula>E7="Non applicabile"</formula>
    </cfRule>
  </conditionalFormatting>
  <conditionalFormatting sqref="I7:I156">
    <cfRule type="expression" dxfId="13" priority="6">
      <formula>I7="No"</formula>
    </cfRule>
    <cfRule type="expression" dxfId="12" priority="7">
      <formula>I7="Sì"</formula>
    </cfRule>
  </conditionalFormatting>
  <conditionalFormatting sqref="M7:M156">
    <cfRule type="expression" dxfId="11" priority="4">
      <formula>M7="Non conforme"</formula>
    </cfRule>
    <cfRule type="expression" dxfId="10" priority="5">
      <formula>M7="Conforme"</formula>
    </cfRule>
  </conditionalFormatting>
  <dataValidations count="1">
    <dataValidation type="list" sqref="I7:I156" xr:uid="{00000000-0002-0000-0100-000002000000}">
      <formula1>"Sì,No,Parziale,Non applicabile"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Parametri!$A$2:$A$4</xm:f>
          </x14:formula1>
          <xm:sqref>E7:E156</xm:sqref>
        </x14:dataValidation>
        <x14:dataValidation type="list" xr:uid="{00000000-0002-0000-0100-000001000000}">
          <x14:formula1>
            <xm:f>Parametri!$C$2:$C$5</xm:f>
          </x14:formula1>
          <xm:sqref>G7:G156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"/>
  <sheetViews>
    <sheetView workbookViewId="0">
      <selection sqref="A1:XFD1048576"/>
    </sheetView>
  </sheetViews>
  <sheetFormatPr baseColWidth="10" defaultColWidth="8.83203125" defaultRowHeight="14"/>
  <cols>
    <col min="1" max="2" width="13" customWidth="1"/>
    <col min="3" max="3" width="45" customWidth="1"/>
    <col min="4" max="4" width="56" customWidth="1"/>
    <col min="5" max="5" width="20" customWidth="1"/>
    <col min="6" max="6" width="12" customWidth="1"/>
    <col min="7" max="7" width="18" customWidth="1"/>
    <col min="8" max="10" width="15" customWidth="1"/>
    <col min="11" max="11" width="16" customWidth="1"/>
    <col min="12" max="12" width="12" customWidth="1"/>
    <col min="13" max="13" width="42" customWidth="1"/>
  </cols>
  <sheetData>
    <row r="1" spans="1:13" ht="40" customHeight="1">
      <c r="A1" s="23" t="s">
        <v>379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>
      <c r="A2" s="31" t="s">
        <v>380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ht="29.25" customHeight="1">
      <c r="A4" s="1" t="s">
        <v>381</v>
      </c>
      <c r="B4" s="1" t="s">
        <v>382</v>
      </c>
      <c r="C4" s="1" t="s">
        <v>51</v>
      </c>
      <c r="D4" s="1" t="s">
        <v>383</v>
      </c>
      <c r="E4" s="1" t="s">
        <v>55</v>
      </c>
      <c r="F4" s="1" t="s">
        <v>56</v>
      </c>
      <c r="G4" s="1" t="s">
        <v>384</v>
      </c>
      <c r="H4" s="1" t="s">
        <v>385</v>
      </c>
      <c r="I4" s="1" t="s">
        <v>57</v>
      </c>
      <c r="J4" s="1" t="s">
        <v>386</v>
      </c>
      <c r="K4" s="1" t="s">
        <v>387</v>
      </c>
      <c r="L4" s="1" t="s">
        <v>388</v>
      </c>
      <c r="M4" s="1" t="s">
        <v>60</v>
      </c>
    </row>
    <row r="5" spans="1:13" ht="15">
      <c r="A5" s="6" t="str">
        <f t="shared" ref="A5:A36" si="0">IF(D5&lt;&gt;"","ACT-"&amp;TEXT(ROW()-4,"000"),"")</f>
        <v>ACT-001</v>
      </c>
      <c r="B5" s="6"/>
      <c r="C5" s="6" t="s">
        <v>20</v>
      </c>
      <c r="D5" s="6" t="s">
        <v>438</v>
      </c>
      <c r="E5" s="6"/>
      <c r="F5" s="6" t="s">
        <v>414</v>
      </c>
      <c r="G5" s="6" t="s">
        <v>36</v>
      </c>
      <c r="H5" s="9"/>
      <c r="I5" s="9"/>
      <c r="J5" s="9"/>
      <c r="K5" s="12">
        <f t="shared" ref="K5:K36" si="1">IF(G5="Completata",1,IF(G5="In corso",0.5,IF(G5="Bloccata",0.25,IF(G5="Da avviare",0,""))))</f>
        <v>0.5</v>
      </c>
      <c r="L5" s="6" t="str">
        <f t="shared" ref="L5:L36" ca="1" si="2">IF(D5="","",IF(AND(G5&lt;&gt;"Completata",I5&lt;TODAY()),"Sì","No"))</f>
        <v>Sì</v>
      </c>
      <c r="M5" s="6"/>
    </row>
    <row r="6" spans="1:13" ht="15">
      <c r="A6" s="6" t="str">
        <f t="shared" si="0"/>
        <v/>
      </c>
      <c r="B6" s="6"/>
      <c r="C6" s="6"/>
      <c r="D6" s="6"/>
      <c r="E6" s="6"/>
      <c r="F6" s="6"/>
      <c r="G6" s="6"/>
      <c r="H6" s="9"/>
      <c r="I6" s="9"/>
      <c r="J6" s="9"/>
      <c r="K6" s="12" t="str">
        <f t="shared" si="1"/>
        <v/>
      </c>
      <c r="L6" s="6" t="str">
        <f t="shared" ca="1" si="2"/>
        <v/>
      </c>
      <c r="M6" s="6"/>
    </row>
    <row r="7" spans="1:13" ht="15">
      <c r="A7" s="6" t="str">
        <f t="shared" si="0"/>
        <v/>
      </c>
      <c r="B7" s="6"/>
      <c r="C7" s="6"/>
      <c r="D7" s="6"/>
      <c r="E7" s="6"/>
      <c r="F7" s="6"/>
      <c r="G7" s="6"/>
      <c r="H7" s="9"/>
      <c r="I7" s="9"/>
      <c r="J7" s="9"/>
      <c r="K7" s="12" t="str">
        <f t="shared" si="1"/>
        <v/>
      </c>
      <c r="L7" s="6" t="str">
        <f t="shared" ca="1" si="2"/>
        <v/>
      </c>
      <c r="M7" s="6"/>
    </row>
    <row r="8" spans="1:13" ht="15">
      <c r="A8" s="6" t="str">
        <f t="shared" si="0"/>
        <v/>
      </c>
      <c r="B8" s="6"/>
      <c r="C8" s="6"/>
      <c r="D8" s="6"/>
      <c r="E8" s="6"/>
      <c r="F8" s="6"/>
      <c r="G8" s="6"/>
      <c r="H8" s="9"/>
      <c r="I8" s="9"/>
      <c r="J8" s="9"/>
      <c r="K8" s="12" t="str">
        <f t="shared" si="1"/>
        <v/>
      </c>
      <c r="L8" s="6" t="str">
        <f t="shared" ca="1" si="2"/>
        <v/>
      </c>
      <c r="M8" s="6"/>
    </row>
    <row r="9" spans="1:13" ht="15">
      <c r="A9" s="6" t="str">
        <f t="shared" si="0"/>
        <v/>
      </c>
      <c r="B9" s="6"/>
      <c r="C9" s="6"/>
      <c r="D9" s="6"/>
      <c r="E9" s="6"/>
      <c r="F9" s="6"/>
      <c r="G9" s="6"/>
      <c r="H9" s="9"/>
      <c r="I9" s="9"/>
      <c r="J9" s="9"/>
      <c r="K9" s="12" t="str">
        <f t="shared" si="1"/>
        <v/>
      </c>
      <c r="L9" s="6" t="str">
        <f t="shared" ca="1" si="2"/>
        <v/>
      </c>
      <c r="M9" s="6"/>
    </row>
    <row r="10" spans="1:13" ht="15">
      <c r="A10" s="6" t="str">
        <f t="shared" si="0"/>
        <v/>
      </c>
      <c r="B10" s="6"/>
      <c r="C10" s="6"/>
      <c r="D10" s="6"/>
      <c r="E10" s="6"/>
      <c r="F10" s="6"/>
      <c r="G10" s="6"/>
      <c r="H10" s="9"/>
      <c r="I10" s="9"/>
      <c r="J10" s="9"/>
      <c r="K10" s="12" t="str">
        <f t="shared" si="1"/>
        <v/>
      </c>
      <c r="L10" s="6" t="str">
        <f t="shared" ca="1" si="2"/>
        <v/>
      </c>
      <c r="M10" s="6"/>
    </row>
    <row r="11" spans="1:13" ht="15">
      <c r="A11" s="6" t="str">
        <f t="shared" si="0"/>
        <v/>
      </c>
      <c r="B11" s="6"/>
      <c r="C11" s="6"/>
      <c r="D11" s="6"/>
      <c r="E11" s="6"/>
      <c r="F11" s="6"/>
      <c r="G11" s="6"/>
      <c r="H11" s="9"/>
      <c r="I11" s="9"/>
      <c r="J11" s="9"/>
      <c r="K11" s="12" t="str">
        <f t="shared" si="1"/>
        <v/>
      </c>
      <c r="L11" s="6" t="str">
        <f t="shared" ca="1" si="2"/>
        <v/>
      </c>
      <c r="M11" s="6"/>
    </row>
    <row r="12" spans="1:13" ht="15">
      <c r="A12" s="6" t="str">
        <f t="shared" si="0"/>
        <v/>
      </c>
      <c r="B12" s="6"/>
      <c r="C12" s="6"/>
      <c r="D12" s="6"/>
      <c r="E12" s="6"/>
      <c r="F12" s="6"/>
      <c r="G12" s="6"/>
      <c r="H12" s="9"/>
      <c r="I12" s="9"/>
      <c r="J12" s="9"/>
      <c r="K12" s="12" t="str">
        <f t="shared" si="1"/>
        <v/>
      </c>
      <c r="L12" s="6" t="str">
        <f t="shared" ca="1" si="2"/>
        <v/>
      </c>
      <c r="M12" s="6"/>
    </row>
    <row r="13" spans="1:13" ht="15">
      <c r="A13" s="6" t="str">
        <f t="shared" si="0"/>
        <v/>
      </c>
      <c r="B13" s="6"/>
      <c r="C13" s="6"/>
      <c r="D13" s="6"/>
      <c r="E13" s="6"/>
      <c r="F13" s="6"/>
      <c r="G13" s="6"/>
      <c r="H13" s="9"/>
      <c r="I13" s="9"/>
      <c r="J13" s="9"/>
      <c r="K13" s="12" t="str">
        <f t="shared" si="1"/>
        <v/>
      </c>
      <c r="L13" s="6" t="str">
        <f t="shared" ca="1" si="2"/>
        <v/>
      </c>
      <c r="M13" s="6"/>
    </row>
    <row r="14" spans="1:13" ht="15">
      <c r="A14" s="6" t="str">
        <f t="shared" si="0"/>
        <v/>
      </c>
      <c r="B14" s="6"/>
      <c r="C14" s="6"/>
      <c r="D14" s="6"/>
      <c r="E14" s="6"/>
      <c r="F14" s="6"/>
      <c r="G14" s="6"/>
      <c r="H14" s="9"/>
      <c r="I14" s="9"/>
      <c r="J14" s="9"/>
      <c r="K14" s="12" t="str">
        <f t="shared" si="1"/>
        <v/>
      </c>
      <c r="L14" s="6" t="str">
        <f t="shared" ca="1" si="2"/>
        <v/>
      </c>
      <c r="M14" s="6"/>
    </row>
    <row r="15" spans="1:13" ht="15">
      <c r="A15" s="6" t="str">
        <f t="shared" si="0"/>
        <v/>
      </c>
      <c r="B15" s="6"/>
      <c r="C15" s="6"/>
      <c r="D15" s="6"/>
      <c r="E15" s="6"/>
      <c r="F15" s="6"/>
      <c r="G15" s="6"/>
      <c r="H15" s="9"/>
      <c r="I15" s="9"/>
      <c r="J15" s="9"/>
      <c r="K15" s="12" t="str">
        <f t="shared" si="1"/>
        <v/>
      </c>
      <c r="L15" s="6" t="str">
        <f t="shared" ca="1" si="2"/>
        <v/>
      </c>
      <c r="M15" s="6"/>
    </row>
    <row r="16" spans="1:13" ht="15">
      <c r="A16" s="6" t="str">
        <f t="shared" si="0"/>
        <v/>
      </c>
      <c r="B16" s="6"/>
      <c r="C16" s="6"/>
      <c r="D16" s="6"/>
      <c r="E16" s="6"/>
      <c r="F16" s="6"/>
      <c r="G16" s="6"/>
      <c r="H16" s="9"/>
      <c r="I16" s="9"/>
      <c r="J16" s="9"/>
      <c r="K16" s="12" t="str">
        <f t="shared" si="1"/>
        <v/>
      </c>
      <c r="L16" s="6" t="str">
        <f t="shared" ca="1" si="2"/>
        <v/>
      </c>
      <c r="M16" s="6"/>
    </row>
    <row r="17" spans="1:13" ht="15">
      <c r="A17" s="6" t="str">
        <f t="shared" si="0"/>
        <v/>
      </c>
      <c r="B17" s="6"/>
      <c r="C17" s="6"/>
      <c r="D17" s="6"/>
      <c r="E17" s="6"/>
      <c r="F17" s="6"/>
      <c r="G17" s="6"/>
      <c r="H17" s="9"/>
      <c r="I17" s="9"/>
      <c r="J17" s="9"/>
      <c r="K17" s="12" t="str">
        <f t="shared" si="1"/>
        <v/>
      </c>
      <c r="L17" s="6" t="str">
        <f t="shared" ca="1" si="2"/>
        <v/>
      </c>
      <c r="M17" s="6"/>
    </row>
    <row r="18" spans="1:13" ht="15">
      <c r="A18" s="6" t="str">
        <f t="shared" si="0"/>
        <v/>
      </c>
      <c r="B18" s="6"/>
      <c r="C18" s="6"/>
      <c r="D18" s="6"/>
      <c r="E18" s="6"/>
      <c r="F18" s="6"/>
      <c r="G18" s="6"/>
      <c r="H18" s="9"/>
      <c r="I18" s="9"/>
      <c r="J18" s="9"/>
      <c r="K18" s="12" t="str">
        <f t="shared" si="1"/>
        <v/>
      </c>
      <c r="L18" s="6" t="str">
        <f t="shared" ca="1" si="2"/>
        <v/>
      </c>
      <c r="M18" s="6"/>
    </row>
    <row r="19" spans="1:13" ht="15">
      <c r="A19" s="6" t="str">
        <f t="shared" si="0"/>
        <v/>
      </c>
      <c r="B19" s="6"/>
      <c r="C19" s="6"/>
      <c r="D19" s="6"/>
      <c r="E19" s="6"/>
      <c r="F19" s="6"/>
      <c r="G19" s="6"/>
      <c r="H19" s="9"/>
      <c r="I19" s="9"/>
      <c r="J19" s="9"/>
      <c r="K19" s="12" t="str">
        <f t="shared" si="1"/>
        <v/>
      </c>
      <c r="L19" s="6" t="str">
        <f t="shared" ca="1" si="2"/>
        <v/>
      </c>
      <c r="M19" s="6"/>
    </row>
    <row r="20" spans="1:13" ht="15">
      <c r="A20" s="6" t="str">
        <f t="shared" si="0"/>
        <v/>
      </c>
      <c r="B20" s="6"/>
      <c r="C20" s="6"/>
      <c r="D20" s="6"/>
      <c r="E20" s="6"/>
      <c r="F20" s="6"/>
      <c r="G20" s="6"/>
      <c r="H20" s="9"/>
      <c r="I20" s="9"/>
      <c r="J20" s="9"/>
      <c r="K20" s="12" t="str">
        <f t="shared" si="1"/>
        <v/>
      </c>
      <c r="L20" s="6" t="str">
        <f t="shared" ca="1" si="2"/>
        <v/>
      </c>
      <c r="M20" s="6"/>
    </row>
    <row r="21" spans="1:13" ht="15">
      <c r="A21" s="6" t="str">
        <f t="shared" si="0"/>
        <v/>
      </c>
      <c r="B21" s="6"/>
      <c r="C21" s="6"/>
      <c r="D21" s="6"/>
      <c r="E21" s="6"/>
      <c r="F21" s="6"/>
      <c r="G21" s="6"/>
      <c r="H21" s="9"/>
      <c r="I21" s="9"/>
      <c r="J21" s="9"/>
      <c r="K21" s="12" t="str">
        <f t="shared" si="1"/>
        <v/>
      </c>
      <c r="L21" s="6" t="str">
        <f t="shared" ca="1" si="2"/>
        <v/>
      </c>
      <c r="M21" s="6"/>
    </row>
    <row r="22" spans="1:13" ht="15">
      <c r="A22" s="6" t="str">
        <f t="shared" si="0"/>
        <v/>
      </c>
      <c r="B22" s="6"/>
      <c r="C22" s="6"/>
      <c r="D22" s="6"/>
      <c r="E22" s="6"/>
      <c r="F22" s="6"/>
      <c r="G22" s="6"/>
      <c r="H22" s="9"/>
      <c r="I22" s="9"/>
      <c r="J22" s="9"/>
      <c r="K22" s="12" t="str">
        <f t="shared" si="1"/>
        <v/>
      </c>
      <c r="L22" s="6" t="str">
        <f t="shared" ca="1" si="2"/>
        <v/>
      </c>
      <c r="M22" s="6"/>
    </row>
    <row r="23" spans="1:13" ht="15">
      <c r="A23" s="6" t="str">
        <f t="shared" si="0"/>
        <v/>
      </c>
      <c r="B23" s="6"/>
      <c r="C23" s="6"/>
      <c r="D23" s="6"/>
      <c r="E23" s="6"/>
      <c r="F23" s="6"/>
      <c r="G23" s="6"/>
      <c r="H23" s="9"/>
      <c r="I23" s="9"/>
      <c r="J23" s="9"/>
      <c r="K23" s="12" t="str">
        <f t="shared" si="1"/>
        <v/>
      </c>
      <c r="L23" s="6" t="str">
        <f t="shared" ca="1" si="2"/>
        <v/>
      </c>
      <c r="M23" s="6"/>
    </row>
    <row r="24" spans="1:13" ht="15">
      <c r="A24" s="6" t="str">
        <f t="shared" si="0"/>
        <v/>
      </c>
      <c r="B24" s="6"/>
      <c r="C24" s="6"/>
      <c r="D24" s="6"/>
      <c r="E24" s="6"/>
      <c r="F24" s="6"/>
      <c r="G24" s="6"/>
      <c r="H24" s="9"/>
      <c r="I24" s="9"/>
      <c r="J24" s="9"/>
      <c r="K24" s="12" t="str">
        <f t="shared" si="1"/>
        <v/>
      </c>
      <c r="L24" s="6" t="str">
        <f t="shared" ca="1" si="2"/>
        <v/>
      </c>
      <c r="M24" s="6"/>
    </row>
    <row r="25" spans="1:13" ht="15">
      <c r="A25" s="6" t="str">
        <f t="shared" si="0"/>
        <v/>
      </c>
      <c r="B25" s="6"/>
      <c r="C25" s="6"/>
      <c r="D25" s="6"/>
      <c r="E25" s="6"/>
      <c r="F25" s="6"/>
      <c r="G25" s="6"/>
      <c r="H25" s="9"/>
      <c r="I25" s="9"/>
      <c r="J25" s="9"/>
      <c r="K25" s="12" t="str">
        <f t="shared" si="1"/>
        <v/>
      </c>
      <c r="L25" s="6" t="str">
        <f t="shared" ca="1" si="2"/>
        <v/>
      </c>
      <c r="M25" s="6"/>
    </row>
    <row r="26" spans="1:13" ht="15">
      <c r="A26" s="6" t="str">
        <f t="shared" si="0"/>
        <v/>
      </c>
      <c r="B26" s="6"/>
      <c r="C26" s="6"/>
      <c r="D26" s="6"/>
      <c r="E26" s="6"/>
      <c r="F26" s="6"/>
      <c r="G26" s="6"/>
      <c r="H26" s="9"/>
      <c r="I26" s="9"/>
      <c r="J26" s="9"/>
      <c r="K26" s="12" t="str">
        <f t="shared" si="1"/>
        <v/>
      </c>
      <c r="L26" s="6" t="str">
        <f t="shared" ca="1" si="2"/>
        <v/>
      </c>
      <c r="M26" s="6"/>
    </row>
    <row r="27" spans="1:13" ht="15">
      <c r="A27" s="6" t="str">
        <f t="shared" si="0"/>
        <v/>
      </c>
      <c r="B27" s="6"/>
      <c r="C27" s="6"/>
      <c r="D27" s="6"/>
      <c r="E27" s="6"/>
      <c r="F27" s="6"/>
      <c r="G27" s="6"/>
      <c r="H27" s="9"/>
      <c r="I27" s="9"/>
      <c r="J27" s="9"/>
      <c r="K27" s="12" t="str">
        <f t="shared" si="1"/>
        <v/>
      </c>
      <c r="L27" s="6" t="str">
        <f t="shared" ca="1" si="2"/>
        <v/>
      </c>
      <c r="M27" s="6"/>
    </row>
    <row r="28" spans="1:13" ht="15">
      <c r="A28" s="6" t="str">
        <f t="shared" si="0"/>
        <v/>
      </c>
      <c r="B28" s="6"/>
      <c r="C28" s="6"/>
      <c r="D28" s="6"/>
      <c r="E28" s="6"/>
      <c r="F28" s="6"/>
      <c r="G28" s="6"/>
      <c r="H28" s="9"/>
      <c r="I28" s="9"/>
      <c r="J28" s="9"/>
      <c r="K28" s="12" t="str">
        <f t="shared" si="1"/>
        <v/>
      </c>
      <c r="L28" s="6" t="str">
        <f t="shared" ca="1" si="2"/>
        <v/>
      </c>
      <c r="M28" s="6"/>
    </row>
    <row r="29" spans="1:13" ht="15">
      <c r="A29" s="6" t="str">
        <f t="shared" si="0"/>
        <v/>
      </c>
      <c r="B29" s="6"/>
      <c r="C29" s="6"/>
      <c r="D29" s="6"/>
      <c r="E29" s="6"/>
      <c r="F29" s="6"/>
      <c r="G29" s="6"/>
      <c r="H29" s="9"/>
      <c r="I29" s="9"/>
      <c r="J29" s="9"/>
      <c r="K29" s="12" t="str">
        <f t="shared" si="1"/>
        <v/>
      </c>
      <c r="L29" s="6" t="str">
        <f t="shared" ca="1" si="2"/>
        <v/>
      </c>
      <c r="M29" s="6"/>
    </row>
    <row r="30" spans="1:13" ht="15">
      <c r="A30" s="6" t="str">
        <f t="shared" si="0"/>
        <v/>
      </c>
      <c r="B30" s="6"/>
      <c r="C30" s="6"/>
      <c r="D30" s="6"/>
      <c r="E30" s="6"/>
      <c r="F30" s="6"/>
      <c r="G30" s="6"/>
      <c r="H30" s="9"/>
      <c r="I30" s="9"/>
      <c r="J30" s="9"/>
      <c r="K30" s="12" t="str">
        <f t="shared" si="1"/>
        <v/>
      </c>
      <c r="L30" s="6" t="str">
        <f t="shared" ca="1" si="2"/>
        <v/>
      </c>
      <c r="M30" s="6"/>
    </row>
    <row r="31" spans="1:13" ht="15">
      <c r="A31" s="6" t="str">
        <f t="shared" si="0"/>
        <v/>
      </c>
      <c r="B31" s="6"/>
      <c r="C31" s="6"/>
      <c r="D31" s="6"/>
      <c r="E31" s="6"/>
      <c r="F31" s="6"/>
      <c r="G31" s="6"/>
      <c r="H31" s="9"/>
      <c r="I31" s="9"/>
      <c r="J31" s="9"/>
      <c r="K31" s="12" t="str">
        <f t="shared" si="1"/>
        <v/>
      </c>
      <c r="L31" s="6" t="str">
        <f t="shared" ca="1" si="2"/>
        <v/>
      </c>
      <c r="M31" s="6"/>
    </row>
    <row r="32" spans="1:13" ht="15">
      <c r="A32" s="6" t="str">
        <f t="shared" si="0"/>
        <v/>
      </c>
      <c r="B32" s="6"/>
      <c r="C32" s="6"/>
      <c r="D32" s="6"/>
      <c r="E32" s="6"/>
      <c r="F32" s="6"/>
      <c r="G32" s="6"/>
      <c r="H32" s="9"/>
      <c r="I32" s="9"/>
      <c r="J32" s="9"/>
      <c r="K32" s="12" t="str">
        <f t="shared" si="1"/>
        <v/>
      </c>
      <c r="L32" s="6" t="str">
        <f t="shared" ca="1" si="2"/>
        <v/>
      </c>
      <c r="M32" s="6"/>
    </row>
    <row r="33" spans="1:13" ht="15">
      <c r="A33" s="6" t="str">
        <f t="shared" si="0"/>
        <v/>
      </c>
      <c r="B33" s="6"/>
      <c r="C33" s="6"/>
      <c r="D33" s="6"/>
      <c r="E33" s="6"/>
      <c r="F33" s="6"/>
      <c r="G33" s="6"/>
      <c r="H33" s="9"/>
      <c r="I33" s="9"/>
      <c r="J33" s="9"/>
      <c r="K33" s="12" t="str">
        <f t="shared" si="1"/>
        <v/>
      </c>
      <c r="L33" s="6" t="str">
        <f t="shared" ca="1" si="2"/>
        <v/>
      </c>
      <c r="M33" s="6"/>
    </row>
    <row r="34" spans="1:13" ht="15">
      <c r="A34" s="6" t="str">
        <f t="shared" si="0"/>
        <v/>
      </c>
      <c r="B34" s="6"/>
      <c r="C34" s="6"/>
      <c r="D34" s="6"/>
      <c r="E34" s="6"/>
      <c r="F34" s="6"/>
      <c r="G34" s="6"/>
      <c r="H34" s="9"/>
      <c r="I34" s="9"/>
      <c r="J34" s="9"/>
      <c r="K34" s="12" t="str">
        <f t="shared" si="1"/>
        <v/>
      </c>
      <c r="L34" s="6" t="str">
        <f t="shared" ca="1" si="2"/>
        <v/>
      </c>
      <c r="M34" s="6"/>
    </row>
    <row r="35" spans="1:13" ht="15">
      <c r="A35" s="6" t="str">
        <f t="shared" si="0"/>
        <v/>
      </c>
      <c r="B35" s="6"/>
      <c r="C35" s="6"/>
      <c r="D35" s="6"/>
      <c r="E35" s="6"/>
      <c r="F35" s="6"/>
      <c r="G35" s="6"/>
      <c r="H35" s="9"/>
      <c r="I35" s="9"/>
      <c r="J35" s="9"/>
      <c r="K35" s="12" t="str">
        <f t="shared" si="1"/>
        <v/>
      </c>
      <c r="L35" s="6" t="str">
        <f t="shared" ca="1" si="2"/>
        <v/>
      </c>
      <c r="M35" s="6"/>
    </row>
    <row r="36" spans="1:13" ht="15">
      <c r="A36" s="6" t="str">
        <f t="shared" si="0"/>
        <v/>
      </c>
      <c r="B36" s="6"/>
      <c r="C36" s="6"/>
      <c r="D36" s="6"/>
      <c r="E36" s="6"/>
      <c r="F36" s="6"/>
      <c r="G36" s="6"/>
      <c r="H36" s="9"/>
      <c r="I36" s="9"/>
      <c r="J36" s="9"/>
      <c r="K36" s="12" t="str">
        <f t="shared" si="1"/>
        <v/>
      </c>
      <c r="L36" s="6" t="str">
        <f t="shared" ca="1" si="2"/>
        <v/>
      </c>
      <c r="M36" s="6"/>
    </row>
    <row r="37" spans="1:13" ht="15">
      <c r="A37" s="6" t="str">
        <f t="shared" ref="A37:A68" si="3">IF(D37&lt;&gt;"","ACT-"&amp;TEXT(ROW()-4,"000"),"")</f>
        <v/>
      </c>
      <c r="B37" s="6"/>
      <c r="C37" s="6"/>
      <c r="D37" s="6"/>
      <c r="E37" s="6"/>
      <c r="F37" s="6"/>
      <c r="G37" s="6"/>
      <c r="H37" s="9"/>
      <c r="I37" s="9"/>
      <c r="J37" s="9"/>
      <c r="K37" s="12" t="str">
        <f t="shared" ref="K37:K68" si="4">IF(G37="Completata",1,IF(G37="In corso",0.5,IF(G37="Bloccata",0.25,IF(G37="Da avviare",0,""))))</f>
        <v/>
      </c>
      <c r="L37" s="6" t="str">
        <f t="shared" ref="L37:L68" ca="1" si="5">IF(D37="","",IF(AND(G37&lt;&gt;"Completata",I37&lt;TODAY()),"Sì","No"))</f>
        <v/>
      </c>
      <c r="M37" s="6"/>
    </row>
    <row r="38" spans="1:13" ht="15">
      <c r="A38" s="6" t="str">
        <f t="shared" si="3"/>
        <v/>
      </c>
      <c r="B38" s="6"/>
      <c r="C38" s="6"/>
      <c r="D38" s="6"/>
      <c r="E38" s="6"/>
      <c r="F38" s="6"/>
      <c r="G38" s="6"/>
      <c r="H38" s="9"/>
      <c r="I38" s="9"/>
      <c r="J38" s="9"/>
      <c r="K38" s="12" t="str">
        <f t="shared" si="4"/>
        <v/>
      </c>
      <c r="L38" s="6" t="str">
        <f t="shared" ca="1" si="5"/>
        <v/>
      </c>
      <c r="M38" s="6"/>
    </row>
    <row r="39" spans="1:13" ht="15">
      <c r="A39" s="6" t="str">
        <f t="shared" si="3"/>
        <v/>
      </c>
      <c r="B39" s="6"/>
      <c r="C39" s="6"/>
      <c r="D39" s="6"/>
      <c r="E39" s="6"/>
      <c r="F39" s="6"/>
      <c r="G39" s="6"/>
      <c r="H39" s="9"/>
      <c r="I39" s="9"/>
      <c r="J39" s="9"/>
      <c r="K39" s="12" t="str">
        <f t="shared" si="4"/>
        <v/>
      </c>
      <c r="L39" s="6" t="str">
        <f t="shared" ca="1" si="5"/>
        <v/>
      </c>
      <c r="M39" s="6"/>
    </row>
    <row r="40" spans="1:13" ht="15">
      <c r="A40" s="6" t="str">
        <f t="shared" si="3"/>
        <v/>
      </c>
      <c r="B40" s="6"/>
      <c r="C40" s="6"/>
      <c r="D40" s="6"/>
      <c r="E40" s="6"/>
      <c r="F40" s="6"/>
      <c r="G40" s="6"/>
      <c r="H40" s="9"/>
      <c r="I40" s="9"/>
      <c r="J40" s="9"/>
      <c r="K40" s="12" t="str">
        <f t="shared" si="4"/>
        <v/>
      </c>
      <c r="L40" s="6" t="str">
        <f t="shared" ca="1" si="5"/>
        <v/>
      </c>
      <c r="M40" s="6"/>
    </row>
    <row r="41" spans="1:13" ht="15">
      <c r="A41" s="6" t="str">
        <f t="shared" si="3"/>
        <v/>
      </c>
      <c r="B41" s="6"/>
      <c r="C41" s="6"/>
      <c r="D41" s="6"/>
      <c r="E41" s="6"/>
      <c r="F41" s="6"/>
      <c r="G41" s="6"/>
      <c r="H41" s="9"/>
      <c r="I41" s="9"/>
      <c r="J41" s="9"/>
      <c r="K41" s="12" t="str">
        <f t="shared" si="4"/>
        <v/>
      </c>
      <c r="L41" s="6" t="str">
        <f t="shared" ca="1" si="5"/>
        <v/>
      </c>
      <c r="M41" s="6"/>
    </row>
    <row r="42" spans="1:13" ht="15">
      <c r="A42" s="6" t="str">
        <f t="shared" si="3"/>
        <v/>
      </c>
      <c r="B42" s="6"/>
      <c r="C42" s="6"/>
      <c r="D42" s="6"/>
      <c r="E42" s="6"/>
      <c r="F42" s="6"/>
      <c r="G42" s="6"/>
      <c r="H42" s="9"/>
      <c r="I42" s="9"/>
      <c r="J42" s="9"/>
      <c r="K42" s="12" t="str">
        <f t="shared" si="4"/>
        <v/>
      </c>
      <c r="L42" s="6" t="str">
        <f t="shared" ca="1" si="5"/>
        <v/>
      </c>
      <c r="M42" s="6"/>
    </row>
    <row r="43" spans="1:13" ht="15">
      <c r="A43" s="6" t="str">
        <f t="shared" si="3"/>
        <v/>
      </c>
      <c r="B43" s="6"/>
      <c r="C43" s="6"/>
      <c r="D43" s="6"/>
      <c r="E43" s="6"/>
      <c r="F43" s="6"/>
      <c r="G43" s="6"/>
      <c r="H43" s="9"/>
      <c r="I43" s="9"/>
      <c r="J43" s="9"/>
      <c r="K43" s="12" t="str">
        <f t="shared" si="4"/>
        <v/>
      </c>
      <c r="L43" s="6" t="str">
        <f t="shared" ca="1" si="5"/>
        <v/>
      </c>
      <c r="M43" s="6"/>
    </row>
    <row r="44" spans="1:13" ht="15">
      <c r="A44" s="6" t="str">
        <f t="shared" si="3"/>
        <v/>
      </c>
      <c r="B44" s="6"/>
      <c r="C44" s="6"/>
      <c r="D44" s="6"/>
      <c r="E44" s="6"/>
      <c r="F44" s="6"/>
      <c r="G44" s="6"/>
      <c r="H44" s="9"/>
      <c r="I44" s="9"/>
      <c r="J44" s="9"/>
      <c r="K44" s="12" t="str">
        <f t="shared" si="4"/>
        <v/>
      </c>
      <c r="L44" s="6" t="str">
        <f t="shared" ca="1" si="5"/>
        <v/>
      </c>
      <c r="M44" s="6"/>
    </row>
    <row r="45" spans="1:13" ht="15">
      <c r="A45" s="6" t="str">
        <f t="shared" si="3"/>
        <v/>
      </c>
      <c r="B45" s="6"/>
      <c r="C45" s="6"/>
      <c r="D45" s="6"/>
      <c r="E45" s="6"/>
      <c r="F45" s="6"/>
      <c r="G45" s="6"/>
      <c r="H45" s="9"/>
      <c r="I45" s="9"/>
      <c r="J45" s="9"/>
      <c r="K45" s="12" t="str">
        <f t="shared" si="4"/>
        <v/>
      </c>
      <c r="L45" s="6" t="str">
        <f t="shared" ca="1" si="5"/>
        <v/>
      </c>
      <c r="M45" s="6"/>
    </row>
    <row r="46" spans="1:13" ht="15">
      <c r="A46" s="6" t="str">
        <f t="shared" si="3"/>
        <v/>
      </c>
      <c r="B46" s="6"/>
      <c r="C46" s="6"/>
      <c r="D46" s="6"/>
      <c r="E46" s="6"/>
      <c r="F46" s="6"/>
      <c r="G46" s="6"/>
      <c r="H46" s="9"/>
      <c r="I46" s="9"/>
      <c r="J46" s="9"/>
      <c r="K46" s="12" t="str">
        <f t="shared" si="4"/>
        <v/>
      </c>
      <c r="L46" s="6" t="str">
        <f t="shared" ca="1" si="5"/>
        <v/>
      </c>
      <c r="M46" s="6"/>
    </row>
    <row r="47" spans="1:13" ht="15">
      <c r="A47" s="6" t="str">
        <f t="shared" si="3"/>
        <v/>
      </c>
      <c r="B47" s="6"/>
      <c r="C47" s="6"/>
      <c r="D47" s="6"/>
      <c r="E47" s="6"/>
      <c r="F47" s="6"/>
      <c r="G47" s="6"/>
      <c r="H47" s="9"/>
      <c r="I47" s="9"/>
      <c r="J47" s="9"/>
      <c r="K47" s="12" t="str">
        <f t="shared" si="4"/>
        <v/>
      </c>
      <c r="L47" s="6" t="str">
        <f t="shared" ca="1" si="5"/>
        <v/>
      </c>
      <c r="M47" s="6"/>
    </row>
    <row r="48" spans="1:13" ht="15">
      <c r="A48" s="6" t="str">
        <f t="shared" si="3"/>
        <v/>
      </c>
      <c r="B48" s="6"/>
      <c r="C48" s="6"/>
      <c r="D48" s="6"/>
      <c r="E48" s="6"/>
      <c r="F48" s="6"/>
      <c r="G48" s="6"/>
      <c r="H48" s="9"/>
      <c r="I48" s="9"/>
      <c r="J48" s="9"/>
      <c r="K48" s="12" t="str">
        <f t="shared" si="4"/>
        <v/>
      </c>
      <c r="L48" s="6" t="str">
        <f t="shared" ca="1" si="5"/>
        <v/>
      </c>
      <c r="M48" s="6"/>
    </row>
    <row r="49" spans="1:13" ht="15">
      <c r="A49" s="6" t="str">
        <f t="shared" si="3"/>
        <v/>
      </c>
      <c r="B49" s="6"/>
      <c r="C49" s="6"/>
      <c r="D49" s="6"/>
      <c r="E49" s="6"/>
      <c r="F49" s="6"/>
      <c r="G49" s="6"/>
      <c r="H49" s="9"/>
      <c r="I49" s="9"/>
      <c r="J49" s="9"/>
      <c r="K49" s="12" t="str">
        <f t="shared" si="4"/>
        <v/>
      </c>
      <c r="L49" s="6" t="str">
        <f t="shared" ca="1" si="5"/>
        <v/>
      </c>
      <c r="M49" s="6"/>
    </row>
    <row r="50" spans="1:13" ht="15">
      <c r="A50" s="6" t="str">
        <f t="shared" si="3"/>
        <v/>
      </c>
      <c r="B50" s="6"/>
      <c r="C50" s="6"/>
      <c r="D50" s="6"/>
      <c r="E50" s="6"/>
      <c r="F50" s="6"/>
      <c r="G50" s="6"/>
      <c r="H50" s="9"/>
      <c r="I50" s="9"/>
      <c r="J50" s="9"/>
      <c r="K50" s="12" t="str">
        <f t="shared" si="4"/>
        <v/>
      </c>
      <c r="L50" s="6" t="str">
        <f t="shared" ca="1" si="5"/>
        <v/>
      </c>
      <c r="M50" s="6"/>
    </row>
    <row r="51" spans="1:13" ht="15">
      <c r="A51" s="6" t="str">
        <f t="shared" si="3"/>
        <v/>
      </c>
      <c r="B51" s="6"/>
      <c r="C51" s="6"/>
      <c r="D51" s="6"/>
      <c r="E51" s="6"/>
      <c r="F51" s="6"/>
      <c r="G51" s="6"/>
      <c r="H51" s="9"/>
      <c r="I51" s="9"/>
      <c r="J51" s="9"/>
      <c r="K51" s="12" t="str">
        <f t="shared" si="4"/>
        <v/>
      </c>
      <c r="L51" s="6" t="str">
        <f t="shared" ca="1" si="5"/>
        <v/>
      </c>
      <c r="M51" s="6"/>
    </row>
    <row r="52" spans="1:13" ht="15">
      <c r="A52" s="6" t="str">
        <f t="shared" si="3"/>
        <v/>
      </c>
      <c r="B52" s="6"/>
      <c r="C52" s="6"/>
      <c r="D52" s="6"/>
      <c r="E52" s="6"/>
      <c r="F52" s="6"/>
      <c r="G52" s="6"/>
      <c r="H52" s="9"/>
      <c r="I52" s="9"/>
      <c r="J52" s="9"/>
      <c r="K52" s="12" t="str">
        <f t="shared" si="4"/>
        <v/>
      </c>
      <c r="L52" s="6" t="str">
        <f t="shared" ca="1" si="5"/>
        <v/>
      </c>
      <c r="M52" s="6"/>
    </row>
    <row r="53" spans="1:13" ht="15">
      <c r="A53" s="6" t="str">
        <f t="shared" si="3"/>
        <v/>
      </c>
      <c r="B53" s="6"/>
      <c r="C53" s="6"/>
      <c r="D53" s="6"/>
      <c r="E53" s="6"/>
      <c r="F53" s="6"/>
      <c r="G53" s="6"/>
      <c r="H53" s="9"/>
      <c r="I53" s="9"/>
      <c r="J53" s="9"/>
      <c r="K53" s="12" t="str">
        <f t="shared" si="4"/>
        <v/>
      </c>
      <c r="L53" s="6" t="str">
        <f t="shared" ca="1" si="5"/>
        <v/>
      </c>
      <c r="M53" s="6"/>
    </row>
    <row r="54" spans="1:13" ht="15">
      <c r="A54" s="6" t="str">
        <f t="shared" si="3"/>
        <v/>
      </c>
      <c r="B54" s="6"/>
      <c r="C54" s="6"/>
      <c r="D54" s="6"/>
      <c r="E54" s="6"/>
      <c r="F54" s="6"/>
      <c r="G54" s="6"/>
      <c r="H54" s="9"/>
      <c r="I54" s="9"/>
      <c r="J54" s="9"/>
      <c r="K54" s="12" t="str">
        <f t="shared" si="4"/>
        <v/>
      </c>
      <c r="L54" s="6" t="str">
        <f t="shared" ca="1" si="5"/>
        <v/>
      </c>
      <c r="M54" s="6"/>
    </row>
    <row r="55" spans="1:13" ht="15">
      <c r="A55" s="6" t="str">
        <f t="shared" si="3"/>
        <v/>
      </c>
      <c r="B55" s="6"/>
      <c r="C55" s="6"/>
      <c r="D55" s="6"/>
      <c r="E55" s="6"/>
      <c r="F55" s="6"/>
      <c r="G55" s="6"/>
      <c r="H55" s="9"/>
      <c r="I55" s="9"/>
      <c r="J55" s="9"/>
      <c r="K55" s="12" t="str">
        <f t="shared" si="4"/>
        <v/>
      </c>
      <c r="L55" s="6" t="str">
        <f t="shared" ca="1" si="5"/>
        <v/>
      </c>
      <c r="M55" s="6"/>
    </row>
    <row r="56" spans="1:13" ht="15">
      <c r="A56" s="6" t="str">
        <f t="shared" si="3"/>
        <v/>
      </c>
      <c r="B56" s="6"/>
      <c r="C56" s="6"/>
      <c r="D56" s="6"/>
      <c r="E56" s="6"/>
      <c r="F56" s="6"/>
      <c r="G56" s="6"/>
      <c r="H56" s="9"/>
      <c r="I56" s="9"/>
      <c r="J56" s="9"/>
      <c r="K56" s="12" t="str">
        <f t="shared" si="4"/>
        <v/>
      </c>
      <c r="L56" s="6" t="str">
        <f t="shared" ca="1" si="5"/>
        <v/>
      </c>
      <c r="M56" s="6"/>
    </row>
    <row r="57" spans="1:13" ht="15">
      <c r="A57" s="6" t="str">
        <f t="shared" si="3"/>
        <v/>
      </c>
      <c r="B57" s="6"/>
      <c r="C57" s="6"/>
      <c r="D57" s="6"/>
      <c r="E57" s="6"/>
      <c r="F57" s="6"/>
      <c r="G57" s="6"/>
      <c r="H57" s="9"/>
      <c r="I57" s="9"/>
      <c r="J57" s="9"/>
      <c r="K57" s="12" t="str">
        <f t="shared" si="4"/>
        <v/>
      </c>
      <c r="L57" s="6" t="str">
        <f t="shared" ca="1" si="5"/>
        <v/>
      </c>
      <c r="M57" s="6"/>
    </row>
    <row r="58" spans="1:13" ht="15">
      <c r="A58" s="6" t="str">
        <f t="shared" si="3"/>
        <v/>
      </c>
      <c r="B58" s="6"/>
      <c r="C58" s="6"/>
      <c r="D58" s="6"/>
      <c r="E58" s="6"/>
      <c r="F58" s="6"/>
      <c r="G58" s="6"/>
      <c r="H58" s="9"/>
      <c r="I58" s="9"/>
      <c r="J58" s="9"/>
      <c r="K58" s="12" t="str">
        <f t="shared" si="4"/>
        <v/>
      </c>
      <c r="L58" s="6" t="str">
        <f t="shared" ca="1" si="5"/>
        <v/>
      </c>
      <c r="M58" s="6"/>
    </row>
    <row r="59" spans="1:13" ht="15">
      <c r="A59" s="6" t="str">
        <f t="shared" si="3"/>
        <v/>
      </c>
      <c r="B59" s="6"/>
      <c r="C59" s="6"/>
      <c r="D59" s="6"/>
      <c r="E59" s="6"/>
      <c r="F59" s="6"/>
      <c r="G59" s="6"/>
      <c r="H59" s="9"/>
      <c r="I59" s="9"/>
      <c r="J59" s="9"/>
      <c r="K59" s="12" t="str">
        <f t="shared" si="4"/>
        <v/>
      </c>
      <c r="L59" s="6" t="str">
        <f t="shared" ca="1" si="5"/>
        <v/>
      </c>
      <c r="M59" s="6"/>
    </row>
    <row r="60" spans="1:13" ht="15">
      <c r="A60" s="6" t="str">
        <f t="shared" si="3"/>
        <v/>
      </c>
      <c r="B60" s="6"/>
      <c r="C60" s="6"/>
      <c r="D60" s="6"/>
      <c r="E60" s="6"/>
      <c r="F60" s="6"/>
      <c r="G60" s="6"/>
      <c r="H60" s="9"/>
      <c r="I60" s="9"/>
      <c r="J60" s="9"/>
      <c r="K60" s="12" t="str">
        <f t="shared" si="4"/>
        <v/>
      </c>
      <c r="L60" s="6" t="str">
        <f t="shared" ca="1" si="5"/>
        <v/>
      </c>
      <c r="M60" s="6"/>
    </row>
    <row r="61" spans="1:13" ht="15">
      <c r="A61" s="6" t="str">
        <f t="shared" si="3"/>
        <v/>
      </c>
      <c r="B61" s="6"/>
      <c r="C61" s="6"/>
      <c r="D61" s="6"/>
      <c r="E61" s="6"/>
      <c r="F61" s="6"/>
      <c r="G61" s="6"/>
      <c r="H61" s="9"/>
      <c r="I61" s="9"/>
      <c r="J61" s="9"/>
      <c r="K61" s="12" t="str">
        <f t="shared" si="4"/>
        <v/>
      </c>
      <c r="L61" s="6" t="str">
        <f t="shared" ca="1" si="5"/>
        <v/>
      </c>
      <c r="M61" s="6"/>
    </row>
    <row r="62" spans="1:13" ht="15">
      <c r="A62" s="6" t="str">
        <f t="shared" si="3"/>
        <v/>
      </c>
      <c r="B62" s="6"/>
      <c r="C62" s="6"/>
      <c r="D62" s="6"/>
      <c r="E62" s="6"/>
      <c r="F62" s="6"/>
      <c r="G62" s="6"/>
      <c r="H62" s="9"/>
      <c r="I62" s="9"/>
      <c r="J62" s="9"/>
      <c r="K62" s="12" t="str">
        <f t="shared" si="4"/>
        <v/>
      </c>
      <c r="L62" s="6" t="str">
        <f t="shared" ca="1" si="5"/>
        <v/>
      </c>
      <c r="M62" s="6"/>
    </row>
    <row r="63" spans="1:13" ht="15">
      <c r="A63" s="6" t="str">
        <f t="shared" si="3"/>
        <v/>
      </c>
      <c r="B63" s="6"/>
      <c r="C63" s="6"/>
      <c r="D63" s="6"/>
      <c r="E63" s="6"/>
      <c r="F63" s="6"/>
      <c r="G63" s="6"/>
      <c r="H63" s="9"/>
      <c r="I63" s="9"/>
      <c r="J63" s="9"/>
      <c r="K63" s="12" t="str">
        <f t="shared" si="4"/>
        <v/>
      </c>
      <c r="L63" s="6" t="str">
        <f t="shared" ca="1" si="5"/>
        <v/>
      </c>
      <c r="M63" s="6"/>
    </row>
    <row r="64" spans="1:13" ht="15">
      <c r="A64" s="6" t="str">
        <f t="shared" si="3"/>
        <v/>
      </c>
      <c r="B64" s="6"/>
      <c r="C64" s="6"/>
      <c r="D64" s="6"/>
      <c r="E64" s="6"/>
      <c r="F64" s="6"/>
      <c r="G64" s="6"/>
      <c r="H64" s="9"/>
      <c r="I64" s="9"/>
      <c r="J64" s="9"/>
      <c r="K64" s="12" t="str">
        <f t="shared" si="4"/>
        <v/>
      </c>
      <c r="L64" s="6" t="str">
        <f t="shared" ca="1" si="5"/>
        <v/>
      </c>
      <c r="M64" s="6"/>
    </row>
    <row r="65" spans="1:13" ht="15">
      <c r="A65" s="6" t="str">
        <f t="shared" si="3"/>
        <v/>
      </c>
      <c r="B65" s="6"/>
      <c r="C65" s="6"/>
      <c r="D65" s="6"/>
      <c r="E65" s="6"/>
      <c r="F65" s="6"/>
      <c r="G65" s="6"/>
      <c r="H65" s="9"/>
      <c r="I65" s="9"/>
      <c r="J65" s="9"/>
      <c r="K65" s="12" t="str">
        <f t="shared" si="4"/>
        <v/>
      </c>
      <c r="L65" s="6" t="str">
        <f t="shared" ca="1" si="5"/>
        <v/>
      </c>
      <c r="M65" s="6"/>
    </row>
    <row r="66" spans="1:13" ht="15">
      <c r="A66" s="6" t="str">
        <f t="shared" si="3"/>
        <v/>
      </c>
      <c r="B66" s="6"/>
      <c r="C66" s="6"/>
      <c r="D66" s="6"/>
      <c r="E66" s="6"/>
      <c r="F66" s="6"/>
      <c r="G66" s="6"/>
      <c r="H66" s="9"/>
      <c r="I66" s="9"/>
      <c r="J66" s="9"/>
      <c r="K66" s="12" t="str">
        <f t="shared" si="4"/>
        <v/>
      </c>
      <c r="L66" s="6" t="str">
        <f t="shared" ca="1" si="5"/>
        <v/>
      </c>
      <c r="M66" s="6"/>
    </row>
    <row r="67" spans="1:13" ht="15">
      <c r="A67" s="6" t="str">
        <f t="shared" si="3"/>
        <v/>
      </c>
      <c r="B67" s="6"/>
      <c r="C67" s="6"/>
      <c r="D67" s="6"/>
      <c r="E67" s="6"/>
      <c r="F67" s="6"/>
      <c r="G67" s="6"/>
      <c r="H67" s="9"/>
      <c r="I67" s="9"/>
      <c r="J67" s="9"/>
      <c r="K67" s="12" t="str">
        <f t="shared" si="4"/>
        <v/>
      </c>
      <c r="L67" s="6" t="str">
        <f t="shared" ca="1" si="5"/>
        <v/>
      </c>
      <c r="M67" s="6"/>
    </row>
    <row r="68" spans="1:13" ht="15">
      <c r="A68" s="6" t="str">
        <f t="shared" si="3"/>
        <v/>
      </c>
      <c r="B68" s="6"/>
      <c r="C68" s="6"/>
      <c r="D68" s="6"/>
      <c r="E68" s="6"/>
      <c r="F68" s="6"/>
      <c r="G68" s="6"/>
      <c r="H68" s="9"/>
      <c r="I68" s="9"/>
      <c r="J68" s="9"/>
      <c r="K68" s="12" t="str">
        <f t="shared" si="4"/>
        <v/>
      </c>
      <c r="L68" s="6" t="str">
        <f t="shared" ca="1" si="5"/>
        <v/>
      </c>
      <c r="M68" s="6"/>
    </row>
    <row r="69" spans="1:13" ht="15">
      <c r="A69" s="6" t="str">
        <f t="shared" ref="A69:A100" si="6">IF(D69&lt;&gt;"","ACT-"&amp;TEXT(ROW()-4,"000"),"")</f>
        <v/>
      </c>
      <c r="B69" s="6"/>
      <c r="C69" s="6"/>
      <c r="D69" s="6"/>
      <c r="E69" s="6"/>
      <c r="F69" s="6"/>
      <c r="G69" s="6"/>
      <c r="H69" s="9"/>
      <c r="I69" s="9"/>
      <c r="J69" s="9"/>
      <c r="K69" s="12" t="str">
        <f t="shared" ref="K69:K100" si="7">IF(G69="Completata",1,IF(G69="In corso",0.5,IF(G69="Bloccata",0.25,IF(G69="Da avviare",0,""))))</f>
        <v/>
      </c>
      <c r="L69" s="6" t="str">
        <f t="shared" ref="L69:L100" ca="1" si="8">IF(D69="","",IF(AND(G69&lt;&gt;"Completata",I69&lt;TODAY()),"Sì","No"))</f>
        <v/>
      </c>
      <c r="M69" s="6"/>
    </row>
    <row r="70" spans="1:13" ht="15">
      <c r="A70" s="6" t="str">
        <f t="shared" si="6"/>
        <v/>
      </c>
      <c r="B70" s="6"/>
      <c r="C70" s="6"/>
      <c r="D70" s="6"/>
      <c r="E70" s="6"/>
      <c r="F70" s="6"/>
      <c r="G70" s="6"/>
      <c r="H70" s="9"/>
      <c r="I70" s="9"/>
      <c r="J70" s="9"/>
      <c r="K70" s="12" t="str">
        <f t="shared" si="7"/>
        <v/>
      </c>
      <c r="L70" s="6" t="str">
        <f t="shared" ca="1" si="8"/>
        <v/>
      </c>
      <c r="M70" s="6"/>
    </row>
    <row r="71" spans="1:13" ht="15">
      <c r="A71" s="6" t="str">
        <f t="shared" si="6"/>
        <v/>
      </c>
      <c r="B71" s="6"/>
      <c r="C71" s="6"/>
      <c r="D71" s="6"/>
      <c r="E71" s="6"/>
      <c r="F71" s="6"/>
      <c r="G71" s="6"/>
      <c r="H71" s="9"/>
      <c r="I71" s="9"/>
      <c r="J71" s="9"/>
      <c r="K71" s="12" t="str">
        <f t="shared" si="7"/>
        <v/>
      </c>
      <c r="L71" s="6" t="str">
        <f t="shared" ca="1" si="8"/>
        <v/>
      </c>
      <c r="M71" s="6"/>
    </row>
    <row r="72" spans="1:13" ht="15">
      <c r="A72" s="6" t="str">
        <f t="shared" si="6"/>
        <v/>
      </c>
      <c r="B72" s="6"/>
      <c r="C72" s="6"/>
      <c r="D72" s="6"/>
      <c r="E72" s="6"/>
      <c r="F72" s="6"/>
      <c r="G72" s="6"/>
      <c r="H72" s="9"/>
      <c r="I72" s="9"/>
      <c r="J72" s="9"/>
      <c r="K72" s="12" t="str">
        <f t="shared" si="7"/>
        <v/>
      </c>
      <c r="L72" s="6" t="str">
        <f t="shared" ca="1" si="8"/>
        <v/>
      </c>
      <c r="M72" s="6"/>
    </row>
    <row r="73" spans="1:13" ht="15">
      <c r="A73" s="6" t="str">
        <f t="shared" si="6"/>
        <v/>
      </c>
      <c r="B73" s="6"/>
      <c r="C73" s="6"/>
      <c r="D73" s="6"/>
      <c r="E73" s="6"/>
      <c r="F73" s="6"/>
      <c r="G73" s="6"/>
      <c r="H73" s="9"/>
      <c r="I73" s="9"/>
      <c r="J73" s="9"/>
      <c r="K73" s="12" t="str">
        <f t="shared" si="7"/>
        <v/>
      </c>
      <c r="L73" s="6" t="str">
        <f t="shared" ca="1" si="8"/>
        <v/>
      </c>
      <c r="M73" s="6"/>
    </row>
    <row r="74" spans="1:13" ht="15">
      <c r="A74" s="6" t="str">
        <f t="shared" si="6"/>
        <v/>
      </c>
      <c r="B74" s="6"/>
      <c r="C74" s="6"/>
      <c r="D74" s="6"/>
      <c r="E74" s="6"/>
      <c r="F74" s="6"/>
      <c r="G74" s="6"/>
      <c r="H74" s="9"/>
      <c r="I74" s="9"/>
      <c r="J74" s="9"/>
      <c r="K74" s="12" t="str">
        <f t="shared" si="7"/>
        <v/>
      </c>
      <c r="L74" s="6" t="str">
        <f t="shared" ca="1" si="8"/>
        <v/>
      </c>
      <c r="M74" s="6"/>
    </row>
    <row r="75" spans="1:13" ht="15">
      <c r="A75" s="6" t="str">
        <f t="shared" si="6"/>
        <v/>
      </c>
      <c r="B75" s="6"/>
      <c r="C75" s="6"/>
      <c r="D75" s="6"/>
      <c r="E75" s="6"/>
      <c r="F75" s="6"/>
      <c r="G75" s="6"/>
      <c r="H75" s="9"/>
      <c r="I75" s="9"/>
      <c r="J75" s="9"/>
      <c r="K75" s="12" t="str">
        <f t="shared" si="7"/>
        <v/>
      </c>
      <c r="L75" s="6" t="str">
        <f t="shared" ca="1" si="8"/>
        <v/>
      </c>
      <c r="M75" s="6"/>
    </row>
    <row r="76" spans="1:13" ht="15">
      <c r="A76" s="6" t="str">
        <f t="shared" si="6"/>
        <v/>
      </c>
      <c r="B76" s="6"/>
      <c r="C76" s="6"/>
      <c r="D76" s="6"/>
      <c r="E76" s="6"/>
      <c r="F76" s="6"/>
      <c r="G76" s="6"/>
      <c r="H76" s="9"/>
      <c r="I76" s="9"/>
      <c r="J76" s="9"/>
      <c r="K76" s="12" t="str">
        <f t="shared" si="7"/>
        <v/>
      </c>
      <c r="L76" s="6" t="str">
        <f t="shared" ca="1" si="8"/>
        <v/>
      </c>
      <c r="M76" s="6"/>
    </row>
    <row r="77" spans="1:13" ht="15">
      <c r="A77" s="6" t="str">
        <f t="shared" si="6"/>
        <v/>
      </c>
      <c r="B77" s="6"/>
      <c r="C77" s="6"/>
      <c r="D77" s="6"/>
      <c r="E77" s="6"/>
      <c r="F77" s="6"/>
      <c r="G77" s="6"/>
      <c r="H77" s="9"/>
      <c r="I77" s="9"/>
      <c r="J77" s="9"/>
      <c r="K77" s="12" t="str">
        <f t="shared" si="7"/>
        <v/>
      </c>
      <c r="L77" s="6" t="str">
        <f t="shared" ca="1" si="8"/>
        <v/>
      </c>
      <c r="M77" s="6"/>
    </row>
    <row r="78" spans="1:13" ht="15">
      <c r="A78" s="6" t="str">
        <f t="shared" si="6"/>
        <v/>
      </c>
      <c r="B78" s="6"/>
      <c r="C78" s="6"/>
      <c r="D78" s="6"/>
      <c r="E78" s="6"/>
      <c r="F78" s="6"/>
      <c r="G78" s="6"/>
      <c r="H78" s="9"/>
      <c r="I78" s="9"/>
      <c r="J78" s="9"/>
      <c r="K78" s="12" t="str">
        <f t="shared" si="7"/>
        <v/>
      </c>
      <c r="L78" s="6" t="str">
        <f t="shared" ca="1" si="8"/>
        <v/>
      </c>
      <c r="M78" s="6"/>
    </row>
    <row r="79" spans="1:13" ht="15">
      <c r="A79" s="6" t="str">
        <f t="shared" si="6"/>
        <v/>
      </c>
      <c r="B79" s="6"/>
      <c r="C79" s="6"/>
      <c r="D79" s="6"/>
      <c r="E79" s="6"/>
      <c r="F79" s="6"/>
      <c r="G79" s="6"/>
      <c r="H79" s="9"/>
      <c r="I79" s="9"/>
      <c r="J79" s="9"/>
      <c r="K79" s="12" t="str">
        <f t="shared" si="7"/>
        <v/>
      </c>
      <c r="L79" s="6" t="str">
        <f t="shared" ca="1" si="8"/>
        <v/>
      </c>
      <c r="M79" s="6"/>
    </row>
    <row r="80" spans="1:13" ht="15">
      <c r="A80" s="6" t="str">
        <f t="shared" si="6"/>
        <v/>
      </c>
      <c r="B80" s="6"/>
      <c r="C80" s="6"/>
      <c r="D80" s="6"/>
      <c r="E80" s="6"/>
      <c r="F80" s="6"/>
      <c r="G80" s="6"/>
      <c r="H80" s="9"/>
      <c r="I80" s="9"/>
      <c r="J80" s="9"/>
      <c r="K80" s="12" t="str">
        <f t="shared" si="7"/>
        <v/>
      </c>
      <c r="L80" s="6" t="str">
        <f t="shared" ca="1" si="8"/>
        <v/>
      </c>
      <c r="M80" s="6"/>
    </row>
    <row r="81" spans="1:13" ht="15">
      <c r="A81" s="6" t="str">
        <f t="shared" si="6"/>
        <v/>
      </c>
      <c r="B81" s="6"/>
      <c r="C81" s="6"/>
      <c r="D81" s="6"/>
      <c r="E81" s="6"/>
      <c r="F81" s="6"/>
      <c r="G81" s="6"/>
      <c r="H81" s="9"/>
      <c r="I81" s="9"/>
      <c r="J81" s="9"/>
      <c r="K81" s="12" t="str">
        <f t="shared" si="7"/>
        <v/>
      </c>
      <c r="L81" s="6" t="str">
        <f t="shared" ca="1" si="8"/>
        <v/>
      </c>
      <c r="M81" s="6"/>
    </row>
    <row r="82" spans="1:13" ht="15">
      <c r="A82" s="6" t="str">
        <f t="shared" si="6"/>
        <v/>
      </c>
      <c r="B82" s="6"/>
      <c r="C82" s="6"/>
      <c r="D82" s="6"/>
      <c r="E82" s="6"/>
      <c r="F82" s="6"/>
      <c r="G82" s="6"/>
      <c r="H82" s="9"/>
      <c r="I82" s="9"/>
      <c r="J82" s="9"/>
      <c r="K82" s="12" t="str">
        <f t="shared" si="7"/>
        <v/>
      </c>
      <c r="L82" s="6" t="str">
        <f t="shared" ca="1" si="8"/>
        <v/>
      </c>
      <c r="M82" s="6"/>
    </row>
    <row r="83" spans="1:13" ht="15">
      <c r="A83" s="6" t="str">
        <f t="shared" si="6"/>
        <v/>
      </c>
      <c r="B83" s="6"/>
      <c r="C83" s="6"/>
      <c r="D83" s="6"/>
      <c r="E83" s="6"/>
      <c r="F83" s="6"/>
      <c r="G83" s="6"/>
      <c r="H83" s="9"/>
      <c r="I83" s="9"/>
      <c r="J83" s="9"/>
      <c r="K83" s="12" t="str">
        <f t="shared" si="7"/>
        <v/>
      </c>
      <c r="L83" s="6" t="str">
        <f t="shared" ca="1" si="8"/>
        <v/>
      </c>
      <c r="M83" s="6"/>
    </row>
    <row r="84" spans="1:13" ht="15">
      <c r="A84" s="6" t="str">
        <f t="shared" si="6"/>
        <v/>
      </c>
      <c r="B84" s="6"/>
      <c r="C84" s="6"/>
      <c r="D84" s="6"/>
      <c r="E84" s="6"/>
      <c r="F84" s="6"/>
      <c r="G84" s="6"/>
      <c r="H84" s="9"/>
      <c r="I84" s="9"/>
      <c r="J84" s="9"/>
      <c r="K84" s="12" t="str">
        <f t="shared" si="7"/>
        <v/>
      </c>
      <c r="L84" s="6" t="str">
        <f t="shared" ca="1" si="8"/>
        <v/>
      </c>
      <c r="M84" s="6"/>
    </row>
    <row r="85" spans="1:13" ht="15">
      <c r="A85" s="6" t="str">
        <f t="shared" si="6"/>
        <v/>
      </c>
      <c r="B85" s="6"/>
      <c r="C85" s="6"/>
      <c r="D85" s="6"/>
      <c r="E85" s="6"/>
      <c r="F85" s="6"/>
      <c r="G85" s="6"/>
      <c r="H85" s="9"/>
      <c r="I85" s="9"/>
      <c r="J85" s="9"/>
      <c r="K85" s="12" t="str">
        <f t="shared" si="7"/>
        <v/>
      </c>
      <c r="L85" s="6" t="str">
        <f t="shared" ca="1" si="8"/>
        <v/>
      </c>
      <c r="M85" s="6"/>
    </row>
    <row r="86" spans="1:13" ht="15">
      <c r="A86" s="6" t="str">
        <f t="shared" si="6"/>
        <v/>
      </c>
      <c r="B86" s="6"/>
      <c r="C86" s="6"/>
      <c r="D86" s="6"/>
      <c r="E86" s="6"/>
      <c r="F86" s="6"/>
      <c r="G86" s="6"/>
      <c r="H86" s="9"/>
      <c r="I86" s="9"/>
      <c r="J86" s="9"/>
      <c r="K86" s="12" t="str">
        <f t="shared" si="7"/>
        <v/>
      </c>
      <c r="L86" s="6" t="str">
        <f t="shared" ca="1" si="8"/>
        <v/>
      </c>
      <c r="M86" s="6"/>
    </row>
    <row r="87" spans="1:13" ht="15">
      <c r="A87" s="6" t="str">
        <f t="shared" si="6"/>
        <v/>
      </c>
      <c r="B87" s="6"/>
      <c r="C87" s="6"/>
      <c r="D87" s="6"/>
      <c r="E87" s="6"/>
      <c r="F87" s="6"/>
      <c r="G87" s="6"/>
      <c r="H87" s="9"/>
      <c r="I87" s="9"/>
      <c r="J87" s="9"/>
      <c r="K87" s="12" t="str">
        <f t="shared" si="7"/>
        <v/>
      </c>
      <c r="L87" s="6" t="str">
        <f t="shared" ca="1" si="8"/>
        <v/>
      </c>
      <c r="M87" s="6"/>
    </row>
    <row r="88" spans="1:13" ht="15">
      <c r="A88" s="6" t="str">
        <f t="shared" si="6"/>
        <v/>
      </c>
      <c r="B88" s="6"/>
      <c r="C88" s="6"/>
      <c r="D88" s="6"/>
      <c r="E88" s="6"/>
      <c r="F88" s="6"/>
      <c r="G88" s="6"/>
      <c r="H88" s="9"/>
      <c r="I88" s="9"/>
      <c r="J88" s="9"/>
      <c r="K88" s="12" t="str">
        <f t="shared" si="7"/>
        <v/>
      </c>
      <c r="L88" s="6" t="str">
        <f t="shared" ca="1" si="8"/>
        <v/>
      </c>
      <c r="M88" s="6"/>
    </row>
    <row r="89" spans="1:13" ht="15">
      <c r="A89" s="6" t="str">
        <f t="shared" si="6"/>
        <v/>
      </c>
      <c r="B89" s="6"/>
      <c r="C89" s="6"/>
      <c r="D89" s="6"/>
      <c r="E89" s="6"/>
      <c r="F89" s="6"/>
      <c r="G89" s="6"/>
      <c r="H89" s="9"/>
      <c r="I89" s="9"/>
      <c r="J89" s="9"/>
      <c r="K89" s="12" t="str">
        <f t="shared" si="7"/>
        <v/>
      </c>
      <c r="L89" s="6" t="str">
        <f t="shared" ca="1" si="8"/>
        <v/>
      </c>
      <c r="M89" s="6"/>
    </row>
    <row r="90" spans="1:13" ht="15">
      <c r="A90" s="6" t="str">
        <f t="shared" si="6"/>
        <v/>
      </c>
      <c r="B90" s="6"/>
      <c r="C90" s="6"/>
      <c r="D90" s="6"/>
      <c r="E90" s="6"/>
      <c r="F90" s="6"/>
      <c r="G90" s="6"/>
      <c r="H90" s="9"/>
      <c r="I90" s="9"/>
      <c r="J90" s="9"/>
      <c r="K90" s="12" t="str">
        <f t="shared" si="7"/>
        <v/>
      </c>
      <c r="L90" s="6" t="str">
        <f t="shared" ca="1" si="8"/>
        <v/>
      </c>
      <c r="M90" s="6"/>
    </row>
    <row r="91" spans="1:13" ht="15">
      <c r="A91" s="6" t="str">
        <f t="shared" si="6"/>
        <v/>
      </c>
      <c r="B91" s="6"/>
      <c r="C91" s="6"/>
      <c r="D91" s="6"/>
      <c r="E91" s="6"/>
      <c r="F91" s="6"/>
      <c r="G91" s="6"/>
      <c r="H91" s="9"/>
      <c r="I91" s="9"/>
      <c r="J91" s="9"/>
      <c r="K91" s="12" t="str">
        <f t="shared" si="7"/>
        <v/>
      </c>
      <c r="L91" s="6" t="str">
        <f t="shared" ca="1" si="8"/>
        <v/>
      </c>
      <c r="M91" s="6"/>
    </row>
    <row r="92" spans="1:13" ht="15">
      <c r="A92" s="6" t="str">
        <f t="shared" si="6"/>
        <v/>
      </c>
      <c r="B92" s="6"/>
      <c r="C92" s="6"/>
      <c r="D92" s="6"/>
      <c r="E92" s="6"/>
      <c r="F92" s="6"/>
      <c r="G92" s="6"/>
      <c r="H92" s="9"/>
      <c r="I92" s="9"/>
      <c r="J92" s="9"/>
      <c r="K92" s="12" t="str">
        <f t="shared" si="7"/>
        <v/>
      </c>
      <c r="L92" s="6" t="str">
        <f t="shared" ca="1" si="8"/>
        <v/>
      </c>
      <c r="M92" s="6"/>
    </row>
    <row r="93" spans="1:13" ht="15">
      <c r="A93" s="6" t="str">
        <f t="shared" si="6"/>
        <v/>
      </c>
      <c r="B93" s="6"/>
      <c r="C93" s="6"/>
      <c r="D93" s="6"/>
      <c r="E93" s="6"/>
      <c r="F93" s="6"/>
      <c r="G93" s="6"/>
      <c r="H93" s="9"/>
      <c r="I93" s="9"/>
      <c r="J93" s="9"/>
      <c r="K93" s="12" t="str">
        <f t="shared" si="7"/>
        <v/>
      </c>
      <c r="L93" s="6" t="str">
        <f t="shared" ca="1" si="8"/>
        <v/>
      </c>
      <c r="M93" s="6"/>
    </row>
    <row r="94" spans="1:13" ht="15">
      <c r="A94" s="6" t="str">
        <f t="shared" si="6"/>
        <v/>
      </c>
      <c r="B94" s="6"/>
      <c r="C94" s="6"/>
      <c r="D94" s="6"/>
      <c r="E94" s="6"/>
      <c r="F94" s="6"/>
      <c r="G94" s="6"/>
      <c r="H94" s="9"/>
      <c r="I94" s="9"/>
      <c r="J94" s="9"/>
      <c r="K94" s="12" t="str">
        <f t="shared" si="7"/>
        <v/>
      </c>
      <c r="L94" s="6" t="str">
        <f t="shared" ca="1" si="8"/>
        <v/>
      </c>
      <c r="M94" s="6"/>
    </row>
    <row r="95" spans="1:13" ht="15">
      <c r="A95" s="6" t="str">
        <f t="shared" si="6"/>
        <v/>
      </c>
      <c r="B95" s="6"/>
      <c r="C95" s="6"/>
      <c r="D95" s="6"/>
      <c r="E95" s="6"/>
      <c r="F95" s="6"/>
      <c r="G95" s="6"/>
      <c r="H95" s="9"/>
      <c r="I95" s="9"/>
      <c r="J95" s="9"/>
      <c r="K95" s="12" t="str">
        <f t="shared" si="7"/>
        <v/>
      </c>
      <c r="L95" s="6" t="str">
        <f t="shared" ca="1" si="8"/>
        <v/>
      </c>
      <c r="M95" s="6"/>
    </row>
    <row r="96" spans="1:13" ht="15">
      <c r="A96" s="6" t="str">
        <f t="shared" si="6"/>
        <v/>
      </c>
      <c r="B96" s="6"/>
      <c r="C96" s="6"/>
      <c r="D96" s="6"/>
      <c r="E96" s="6"/>
      <c r="F96" s="6"/>
      <c r="G96" s="6"/>
      <c r="H96" s="9"/>
      <c r="I96" s="9"/>
      <c r="J96" s="9"/>
      <c r="K96" s="12" t="str">
        <f t="shared" si="7"/>
        <v/>
      </c>
      <c r="L96" s="6" t="str">
        <f t="shared" ca="1" si="8"/>
        <v/>
      </c>
      <c r="M96" s="6"/>
    </row>
    <row r="97" spans="1:13" ht="15">
      <c r="A97" s="6" t="str">
        <f t="shared" si="6"/>
        <v/>
      </c>
      <c r="B97" s="6"/>
      <c r="C97" s="6"/>
      <c r="D97" s="6"/>
      <c r="E97" s="6"/>
      <c r="F97" s="6"/>
      <c r="G97" s="6"/>
      <c r="H97" s="9"/>
      <c r="I97" s="9"/>
      <c r="J97" s="9"/>
      <c r="K97" s="12" t="str">
        <f t="shared" si="7"/>
        <v/>
      </c>
      <c r="L97" s="6" t="str">
        <f t="shared" ca="1" si="8"/>
        <v/>
      </c>
      <c r="M97" s="6"/>
    </row>
    <row r="98" spans="1:13" ht="15">
      <c r="A98" s="6" t="str">
        <f t="shared" si="6"/>
        <v/>
      </c>
      <c r="B98" s="6"/>
      <c r="C98" s="6"/>
      <c r="D98" s="6"/>
      <c r="E98" s="6"/>
      <c r="F98" s="6"/>
      <c r="G98" s="6"/>
      <c r="H98" s="9"/>
      <c r="I98" s="9"/>
      <c r="J98" s="9"/>
      <c r="K98" s="12" t="str">
        <f t="shared" si="7"/>
        <v/>
      </c>
      <c r="L98" s="6" t="str">
        <f t="shared" ca="1" si="8"/>
        <v/>
      </c>
      <c r="M98" s="6"/>
    </row>
    <row r="99" spans="1:13" ht="15">
      <c r="A99" s="6" t="str">
        <f t="shared" si="6"/>
        <v/>
      </c>
      <c r="B99" s="6"/>
      <c r="C99" s="6"/>
      <c r="D99" s="6"/>
      <c r="E99" s="6"/>
      <c r="F99" s="6"/>
      <c r="G99" s="6"/>
      <c r="H99" s="9"/>
      <c r="I99" s="9"/>
      <c r="J99" s="9"/>
      <c r="K99" s="12" t="str">
        <f t="shared" si="7"/>
        <v/>
      </c>
      <c r="L99" s="6" t="str">
        <f t="shared" ca="1" si="8"/>
        <v/>
      </c>
      <c r="M99" s="6"/>
    </row>
    <row r="100" spans="1:13" ht="15">
      <c r="A100" s="6" t="str">
        <f t="shared" si="6"/>
        <v/>
      </c>
      <c r="B100" s="6"/>
      <c r="C100" s="6"/>
      <c r="D100" s="6"/>
      <c r="E100" s="6"/>
      <c r="F100" s="6"/>
      <c r="G100" s="6"/>
      <c r="H100" s="9"/>
      <c r="I100" s="9"/>
      <c r="J100" s="9"/>
      <c r="K100" s="12" t="str">
        <f t="shared" si="7"/>
        <v/>
      </c>
      <c r="L100" s="6" t="str">
        <f t="shared" ca="1" si="8"/>
        <v/>
      </c>
      <c r="M100" s="6"/>
    </row>
    <row r="101" spans="1:13" ht="15">
      <c r="A101" s="6" t="str">
        <f t="shared" ref="A101:A124" si="9">IF(D101&lt;&gt;"","ACT-"&amp;TEXT(ROW()-4,"000"),"")</f>
        <v/>
      </c>
      <c r="B101" s="6"/>
      <c r="C101" s="6"/>
      <c r="D101" s="6"/>
      <c r="E101" s="6"/>
      <c r="F101" s="6"/>
      <c r="G101" s="6"/>
      <c r="H101" s="9"/>
      <c r="I101" s="9"/>
      <c r="J101" s="9"/>
      <c r="K101" s="12" t="str">
        <f t="shared" ref="K101:K124" si="10">IF(G101="Completata",1,IF(G101="In corso",0.5,IF(G101="Bloccata",0.25,IF(G101="Da avviare",0,""))))</f>
        <v/>
      </c>
      <c r="L101" s="6" t="str">
        <f t="shared" ref="L101:L124" ca="1" si="11">IF(D101="","",IF(AND(G101&lt;&gt;"Completata",I101&lt;TODAY()),"Sì","No"))</f>
        <v/>
      </c>
      <c r="M101" s="6"/>
    </row>
    <row r="102" spans="1:13" ht="15">
      <c r="A102" s="6" t="str">
        <f t="shared" si="9"/>
        <v/>
      </c>
      <c r="B102" s="6"/>
      <c r="C102" s="6"/>
      <c r="D102" s="6"/>
      <c r="E102" s="6"/>
      <c r="F102" s="6"/>
      <c r="G102" s="6"/>
      <c r="H102" s="9"/>
      <c r="I102" s="9"/>
      <c r="J102" s="9"/>
      <c r="K102" s="12" t="str">
        <f t="shared" si="10"/>
        <v/>
      </c>
      <c r="L102" s="6" t="str">
        <f t="shared" ca="1" si="11"/>
        <v/>
      </c>
      <c r="M102" s="6"/>
    </row>
    <row r="103" spans="1:13" ht="15">
      <c r="A103" s="6" t="str">
        <f t="shared" si="9"/>
        <v/>
      </c>
      <c r="B103" s="6"/>
      <c r="C103" s="6"/>
      <c r="D103" s="6"/>
      <c r="E103" s="6"/>
      <c r="F103" s="6"/>
      <c r="G103" s="6"/>
      <c r="H103" s="9"/>
      <c r="I103" s="9"/>
      <c r="J103" s="9"/>
      <c r="K103" s="12" t="str">
        <f t="shared" si="10"/>
        <v/>
      </c>
      <c r="L103" s="6" t="str">
        <f t="shared" ca="1" si="11"/>
        <v/>
      </c>
      <c r="M103" s="6"/>
    </row>
    <row r="104" spans="1:13" ht="15">
      <c r="A104" s="6" t="str">
        <f t="shared" si="9"/>
        <v/>
      </c>
      <c r="B104" s="6"/>
      <c r="C104" s="6"/>
      <c r="D104" s="6"/>
      <c r="E104" s="6"/>
      <c r="F104" s="6"/>
      <c r="G104" s="6"/>
      <c r="H104" s="9"/>
      <c r="I104" s="9"/>
      <c r="J104" s="9"/>
      <c r="K104" s="12" t="str">
        <f t="shared" si="10"/>
        <v/>
      </c>
      <c r="L104" s="6" t="str">
        <f t="shared" ca="1" si="11"/>
        <v/>
      </c>
      <c r="M104" s="6"/>
    </row>
    <row r="105" spans="1:13" ht="15">
      <c r="A105" s="6" t="str">
        <f t="shared" si="9"/>
        <v/>
      </c>
      <c r="B105" s="6"/>
      <c r="C105" s="6"/>
      <c r="D105" s="6"/>
      <c r="E105" s="6"/>
      <c r="F105" s="6"/>
      <c r="G105" s="6"/>
      <c r="H105" s="9"/>
      <c r="I105" s="9"/>
      <c r="J105" s="9"/>
      <c r="K105" s="12" t="str">
        <f t="shared" si="10"/>
        <v/>
      </c>
      <c r="L105" s="6" t="str">
        <f t="shared" ca="1" si="11"/>
        <v/>
      </c>
      <c r="M105" s="6"/>
    </row>
    <row r="106" spans="1:13" ht="15">
      <c r="A106" s="6" t="str">
        <f t="shared" si="9"/>
        <v/>
      </c>
      <c r="B106" s="6"/>
      <c r="C106" s="6"/>
      <c r="D106" s="6"/>
      <c r="E106" s="6"/>
      <c r="F106" s="6"/>
      <c r="G106" s="6"/>
      <c r="H106" s="9"/>
      <c r="I106" s="9"/>
      <c r="J106" s="9"/>
      <c r="K106" s="12" t="str">
        <f t="shared" si="10"/>
        <v/>
      </c>
      <c r="L106" s="6" t="str">
        <f t="shared" ca="1" si="11"/>
        <v/>
      </c>
      <c r="M106" s="6"/>
    </row>
    <row r="107" spans="1:13" ht="15">
      <c r="A107" s="6" t="str">
        <f t="shared" si="9"/>
        <v/>
      </c>
      <c r="B107" s="6"/>
      <c r="C107" s="6"/>
      <c r="D107" s="6"/>
      <c r="E107" s="6"/>
      <c r="F107" s="6"/>
      <c r="G107" s="6"/>
      <c r="H107" s="9"/>
      <c r="I107" s="9"/>
      <c r="J107" s="9"/>
      <c r="K107" s="12" t="str">
        <f t="shared" si="10"/>
        <v/>
      </c>
      <c r="L107" s="6" t="str">
        <f t="shared" ca="1" si="11"/>
        <v/>
      </c>
      <c r="M107" s="6"/>
    </row>
    <row r="108" spans="1:13" ht="15">
      <c r="A108" s="6" t="str">
        <f t="shared" si="9"/>
        <v/>
      </c>
      <c r="B108" s="6"/>
      <c r="C108" s="6"/>
      <c r="D108" s="6"/>
      <c r="E108" s="6"/>
      <c r="F108" s="6"/>
      <c r="G108" s="6"/>
      <c r="H108" s="9"/>
      <c r="I108" s="9"/>
      <c r="J108" s="9"/>
      <c r="K108" s="12" t="str">
        <f t="shared" si="10"/>
        <v/>
      </c>
      <c r="L108" s="6" t="str">
        <f t="shared" ca="1" si="11"/>
        <v/>
      </c>
      <c r="M108" s="6"/>
    </row>
    <row r="109" spans="1:13" ht="15">
      <c r="A109" s="6" t="str">
        <f t="shared" si="9"/>
        <v/>
      </c>
      <c r="B109" s="6"/>
      <c r="C109" s="6"/>
      <c r="D109" s="6"/>
      <c r="E109" s="6"/>
      <c r="F109" s="6"/>
      <c r="G109" s="6"/>
      <c r="H109" s="9"/>
      <c r="I109" s="9"/>
      <c r="J109" s="9"/>
      <c r="K109" s="12" t="str">
        <f t="shared" si="10"/>
        <v/>
      </c>
      <c r="L109" s="6" t="str">
        <f t="shared" ca="1" si="11"/>
        <v/>
      </c>
      <c r="M109" s="6"/>
    </row>
    <row r="110" spans="1:13" ht="15">
      <c r="A110" s="6" t="str">
        <f t="shared" si="9"/>
        <v/>
      </c>
      <c r="B110" s="6"/>
      <c r="C110" s="6"/>
      <c r="D110" s="6"/>
      <c r="E110" s="6"/>
      <c r="F110" s="6"/>
      <c r="G110" s="6"/>
      <c r="H110" s="9"/>
      <c r="I110" s="9"/>
      <c r="J110" s="9"/>
      <c r="K110" s="12" t="str">
        <f t="shared" si="10"/>
        <v/>
      </c>
      <c r="L110" s="6" t="str">
        <f t="shared" ca="1" si="11"/>
        <v/>
      </c>
      <c r="M110" s="6"/>
    </row>
    <row r="111" spans="1:13" ht="15">
      <c r="A111" s="6" t="str">
        <f t="shared" si="9"/>
        <v/>
      </c>
      <c r="B111" s="6"/>
      <c r="C111" s="6"/>
      <c r="D111" s="6"/>
      <c r="E111" s="6"/>
      <c r="F111" s="6"/>
      <c r="G111" s="6"/>
      <c r="H111" s="9"/>
      <c r="I111" s="9"/>
      <c r="J111" s="9"/>
      <c r="K111" s="12" t="str">
        <f t="shared" si="10"/>
        <v/>
      </c>
      <c r="L111" s="6" t="str">
        <f t="shared" ca="1" si="11"/>
        <v/>
      </c>
      <c r="M111" s="6"/>
    </row>
    <row r="112" spans="1:13" ht="15">
      <c r="A112" s="6" t="str">
        <f t="shared" si="9"/>
        <v/>
      </c>
      <c r="B112" s="6"/>
      <c r="C112" s="6"/>
      <c r="D112" s="6"/>
      <c r="E112" s="6"/>
      <c r="F112" s="6"/>
      <c r="G112" s="6"/>
      <c r="H112" s="9"/>
      <c r="I112" s="9"/>
      <c r="J112" s="9"/>
      <c r="K112" s="12" t="str">
        <f t="shared" si="10"/>
        <v/>
      </c>
      <c r="L112" s="6" t="str">
        <f t="shared" ca="1" si="11"/>
        <v/>
      </c>
      <c r="M112" s="6"/>
    </row>
    <row r="113" spans="1:13" ht="15">
      <c r="A113" s="6" t="str">
        <f t="shared" si="9"/>
        <v/>
      </c>
      <c r="B113" s="6"/>
      <c r="C113" s="6"/>
      <c r="D113" s="6"/>
      <c r="E113" s="6"/>
      <c r="F113" s="6"/>
      <c r="G113" s="6"/>
      <c r="H113" s="9"/>
      <c r="I113" s="9"/>
      <c r="J113" s="9"/>
      <c r="K113" s="12" t="str">
        <f t="shared" si="10"/>
        <v/>
      </c>
      <c r="L113" s="6" t="str">
        <f t="shared" ca="1" si="11"/>
        <v/>
      </c>
      <c r="M113" s="6"/>
    </row>
    <row r="114" spans="1:13" ht="15">
      <c r="A114" s="6" t="str">
        <f t="shared" si="9"/>
        <v/>
      </c>
      <c r="B114" s="6"/>
      <c r="C114" s="6"/>
      <c r="D114" s="6"/>
      <c r="E114" s="6"/>
      <c r="F114" s="6"/>
      <c r="G114" s="6"/>
      <c r="H114" s="9"/>
      <c r="I114" s="9"/>
      <c r="J114" s="9"/>
      <c r="K114" s="12" t="str">
        <f t="shared" si="10"/>
        <v/>
      </c>
      <c r="L114" s="6" t="str">
        <f t="shared" ca="1" si="11"/>
        <v/>
      </c>
      <c r="M114" s="6"/>
    </row>
    <row r="115" spans="1:13" ht="15">
      <c r="A115" s="6" t="str">
        <f t="shared" si="9"/>
        <v/>
      </c>
      <c r="B115" s="6"/>
      <c r="C115" s="6"/>
      <c r="D115" s="6"/>
      <c r="E115" s="6"/>
      <c r="F115" s="6"/>
      <c r="G115" s="6"/>
      <c r="H115" s="9"/>
      <c r="I115" s="9"/>
      <c r="J115" s="9"/>
      <c r="K115" s="12" t="str">
        <f t="shared" si="10"/>
        <v/>
      </c>
      <c r="L115" s="6" t="str">
        <f t="shared" ca="1" si="11"/>
        <v/>
      </c>
      <c r="M115" s="6"/>
    </row>
    <row r="116" spans="1:13" ht="15">
      <c r="A116" s="6" t="str">
        <f t="shared" si="9"/>
        <v/>
      </c>
      <c r="B116" s="6"/>
      <c r="C116" s="6"/>
      <c r="D116" s="6"/>
      <c r="E116" s="6"/>
      <c r="F116" s="6"/>
      <c r="G116" s="6"/>
      <c r="H116" s="9"/>
      <c r="I116" s="9"/>
      <c r="J116" s="9"/>
      <c r="K116" s="12" t="str">
        <f t="shared" si="10"/>
        <v/>
      </c>
      <c r="L116" s="6" t="str">
        <f t="shared" ca="1" si="11"/>
        <v/>
      </c>
      <c r="M116" s="6"/>
    </row>
    <row r="117" spans="1:13" ht="15">
      <c r="A117" s="6" t="str">
        <f t="shared" si="9"/>
        <v/>
      </c>
      <c r="B117" s="6"/>
      <c r="C117" s="6"/>
      <c r="D117" s="6"/>
      <c r="E117" s="6"/>
      <c r="F117" s="6"/>
      <c r="G117" s="6"/>
      <c r="H117" s="9"/>
      <c r="I117" s="9"/>
      <c r="J117" s="9"/>
      <c r="K117" s="12" t="str">
        <f t="shared" si="10"/>
        <v/>
      </c>
      <c r="L117" s="6" t="str">
        <f t="shared" ca="1" si="11"/>
        <v/>
      </c>
      <c r="M117" s="6"/>
    </row>
    <row r="118" spans="1:13" ht="15">
      <c r="A118" s="6" t="str">
        <f t="shared" si="9"/>
        <v/>
      </c>
      <c r="B118" s="6"/>
      <c r="C118" s="6"/>
      <c r="D118" s="6"/>
      <c r="E118" s="6"/>
      <c r="F118" s="6"/>
      <c r="G118" s="6"/>
      <c r="H118" s="9"/>
      <c r="I118" s="9"/>
      <c r="J118" s="9"/>
      <c r="K118" s="12" t="str">
        <f t="shared" si="10"/>
        <v/>
      </c>
      <c r="L118" s="6" t="str">
        <f t="shared" ca="1" si="11"/>
        <v/>
      </c>
      <c r="M118" s="6"/>
    </row>
    <row r="119" spans="1:13" ht="15">
      <c r="A119" s="6" t="str">
        <f t="shared" si="9"/>
        <v/>
      </c>
      <c r="B119" s="6"/>
      <c r="C119" s="6"/>
      <c r="D119" s="6"/>
      <c r="E119" s="6"/>
      <c r="F119" s="6"/>
      <c r="G119" s="6"/>
      <c r="H119" s="9"/>
      <c r="I119" s="9"/>
      <c r="J119" s="9"/>
      <c r="K119" s="12" t="str">
        <f t="shared" si="10"/>
        <v/>
      </c>
      <c r="L119" s="6" t="str">
        <f t="shared" ca="1" si="11"/>
        <v/>
      </c>
      <c r="M119" s="6"/>
    </row>
    <row r="120" spans="1:13" ht="15">
      <c r="A120" s="6" t="str">
        <f t="shared" si="9"/>
        <v/>
      </c>
      <c r="B120" s="6"/>
      <c r="C120" s="6"/>
      <c r="D120" s="6"/>
      <c r="E120" s="6"/>
      <c r="F120" s="6"/>
      <c r="G120" s="6"/>
      <c r="H120" s="9"/>
      <c r="I120" s="9"/>
      <c r="J120" s="9"/>
      <c r="K120" s="12" t="str">
        <f t="shared" si="10"/>
        <v/>
      </c>
      <c r="L120" s="6" t="str">
        <f t="shared" ca="1" si="11"/>
        <v/>
      </c>
      <c r="M120" s="6"/>
    </row>
    <row r="121" spans="1:13" ht="15">
      <c r="A121" s="6" t="str">
        <f t="shared" si="9"/>
        <v/>
      </c>
      <c r="B121" s="6"/>
      <c r="C121" s="6"/>
      <c r="D121" s="6"/>
      <c r="E121" s="6"/>
      <c r="F121" s="6"/>
      <c r="G121" s="6"/>
      <c r="H121" s="9"/>
      <c r="I121" s="9"/>
      <c r="J121" s="9"/>
      <c r="K121" s="12" t="str">
        <f t="shared" si="10"/>
        <v/>
      </c>
      <c r="L121" s="6" t="str">
        <f t="shared" ca="1" si="11"/>
        <v/>
      </c>
      <c r="M121" s="6"/>
    </row>
    <row r="122" spans="1:13" ht="15">
      <c r="A122" s="6" t="str">
        <f t="shared" si="9"/>
        <v/>
      </c>
      <c r="B122" s="6"/>
      <c r="C122" s="6"/>
      <c r="D122" s="6"/>
      <c r="E122" s="6"/>
      <c r="F122" s="6"/>
      <c r="G122" s="6"/>
      <c r="H122" s="9"/>
      <c r="I122" s="9"/>
      <c r="J122" s="9"/>
      <c r="K122" s="12" t="str">
        <f t="shared" si="10"/>
        <v/>
      </c>
      <c r="L122" s="6" t="str">
        <f t="shared" ca="1" si="11"/>
        <v/>
      </c>
      <c r="M122" s="6"/>
    </row>
    <row r="123" spans="1:13" ht="15">
      <c r="A123" s="6" t="str">
        <f t="shared" si="9"/>
        <v/>
      </c>
      <c r="B123" s="6"/>
      <c r="C123" s="6"/>
      <c r="D123" s="6"/>
      <c r="E123" s="6"/>
      <c r="F123" s="6"/>
      <c r="G123" s="6"/>
      <c r="H123" s="9"/>
      <c r="I123" s="9"/>
      <c r="J123" s="9"/>
      <c r="K123" s="12" t="str">
        <f t="shared" si="10"/>
        <v/>
      </c>
      <c r="L123" s="6" t="str">
        <f t="shared" ca="1" si="11"/>
        <v/>
      </c>
      <c r="M123" s="6"/>
    </row>
    <row r="124" spans="1:13" ht="15">
      <c r="A124" s="6" t="str">
        <f t="shared" si="9"/>
        <v/>
      </c>
      <c r="B124" s="6"/>
      <c r="C124" s="6"/>
      <c r="D124" s="6"/>
      <c r="E124" s="6"/>
      <c r="F124" s="6"/>
      <c r="G124" s="6"/>
      <c r="H124" s="9"/>
      <c r="I124" s="9"/>
      <c r="J124" s="9"/>
      <c r="K124" s="12" t="str">
        <f t="shared" si="10"/>
        <v/>
      </c>
      <c r="L124" s="6" t="str">
        <f t="shared" ca="1" si="11"/>
        <v/>
      </c>
      <c r="M124" s="6"/>
    </row>
  </sheetData>
  <mergeCells count="2">
    <mergeCell ref="A1:M1"/>
    <mergeCell ref="A2:M2"/>
  </mergeCells>
  <conditionalFormatting sqref="G5:G124">
    <cfRule type="expression" dxfId="9" priority="1">
      <formula>G5="Completata"</formula>
    </cfRule>
    <cfRule type="expression" dxfId="8" priority="2">
      <formula>G5="Bloccata"</formula>
    </cfRule>
    <cfRule type="expression" dxfId="7" priority="3">
      <formula>G5="In corso"</formula>
    </cfRule>
  </conditionalFormatting>
  <conditionalFormatting sqref="K5:K124">
    <cfRule type="dataBar" priority="5">
      <dataBar>
        <cfvo type="min"/>
        <cfvo type="max"/>
        <color rgb="FF0F766E"/>
      </dataBar>
    </cfRule>
    <cfRule type="dataBar" priority="6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{A70082B4-8B0B-8D1E-0182-C556AF9FCEBF}</x14:id>
        </ext>
      </extLst>
    </cfRule>
  </conditionalFormatting>
  <conditionalFormatting sqref="L5:L124">
    <cfRule type="expression" dxfId="6" priority="4">
      <formula>L5="Sì"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0082B4-8B0B-8D1E-0182-C556AF9FCEBF}">
            <x14:dataBar>
              <x14:cfvo type="min"/>
              <x14:cfvo type="max"/>
              <x14:negativeFillColor auto="1"/>
              <x14:axisColor auto="1"/>
            </x14:dataBar>
          </x14:cfRule>
          <xm:sqref>K5:K124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Parametri!$D$2:$D$15</xm:f>
          </x14:formula1>
          <xm:sqref>C5:C124</xm:sqref>
        </x14:dataValidation>
        <x14:dataValidation type="list" xr:uid="{00000000-0002-0000-0200-000001000000}">
          <x14:formula1>
            <xm:f>Parametri!$C$2:$C$5</xm:f>
          </x14:formula1>
          <xm:sqref>F5:F124</xm:sqref>
        </x14:dataValidation>
        <x14:dataValidation type="list" xr:uid="{00000000-0002-0000-0200-000002000000}">
          <x14:formula1>
            <xm:f>Parametri!$B$2:$B$5</xm:f>
          </x14:formula1>
          <xm:sqref>G5:G124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4"/>
  <sheetViews>
    <sheetView topLeftCell="A56" workbookViewId="0">
      <selection activeCell="A56" sqref="A1:XFD1048576"/>
    </sheetView>
  </sheetViews>
  <sheetFormatPr baseColWidth="10" defaultColWidth="8.83203125" defaultRowHeight="14"/>
  <cols>
    <col min="1" max="1" width="13" customWidth="1"/>
    <col min="2" max="2" width="48" customWidth="1"/>
    <col min="3" max="3" width="56" customWidth="1"/>
    <col min="4" max="4" width="45" customWidth="1"/>
    <col min="5" max="5" width="20" customWidth="1"/>
    <col min="6" max="6" width="18" customWidth="1"/>
    <col min="7" max="8" width="16" customWidth="1"/>
    <col min="9" max="9" width="42" customWidth="1"/>
  </cols>
  <sheetData>
    <row r="1" spans="1:9" ht="40" customHeight="1">
      <c r="A1" s="23" t="s">
        <v>389</v>
      </c>
      <c r="B1" s="30"/>
      <c r="C1" s="30"/>
      <c r="D1" s="30"/>
      <c r="E1" s="30"/>
      <c r="F1" s="30"/>
      <c r="G1" s="30"/>
      <c r="H1" s="30"/>
      <c r="I1" s="30"/>
    </row>
    <row r="4" spans="1:9" ht="29.25" customHeight="1">
      <c r="A4" s="1" t="s">
        <v>382</v>
      </c>
      <c r="B4" s="1" t="s">
        <v>51</v>
      </c>
      <c r="C4" s="1" t="s">
        <v>390</v>
      </c>
      <c r="D4" s="1" t="s">
        <v>391</v>
      </c>
      <c r="E4" s="1" t="s">
        <v>55</v>
      </c>
      <c r="F4" s="1" t="s">
        <v>392</v>
      </c>
      <c r="G4" s="1" t="s">
        <v>393</v>
      </c>
      <c r="H4" s="1" t="s">
        <v>394</v>
      </c>
      <c r="I4" s="1" t="s">
        <v>60</v>
      </c>
    </row>
    <row r="5" spans="1:9" ht="15">
      <c r="A5" s="3" t="s">
        <v>64</v>
      </c>
      <c r="B5" s="3" t="s">
        <v>18</v>
      </c>
      <c r="C5" s="3" t="s">
        <v>66</v>
      </c>
      <c r="D5" s="3"/>
      <c r="E5" s="3"/>
      <c r="F5" s="3" t="s">
        <v>415</v>
      </c>
      <c r="G5" s="11"/>
      <c r="H5" s="11"/>
      <c r="I5" s="3"/>
    </row>
    <row r="6" spans="1:9" ht="15">
      <c r="A6" s="3" t="s">
        <v>68</v>
      </c>
      <c r="B6" s="3" t="s">
        <v>18</v>
      </c>
      <c r="C6" s="3" t="s">
        <v>69</v>
      </c>
      <c r="D6" s="3"/>
      <c r="E6" s="3"/>
      <c r="F6" s="3" t="s">
        <v>415</v>
      </c>
      <c r="G6" s="11"/>
      <c r="H6" s="11"/>
      <c r="I6" s="3"/>
    </row>
    <row r="7" spans="1:9" ht="15">
      <c r="A7" s="3" t="s">
        <v>70</v>
      </c>
      <c r="B7" s="3" t="s">
        <v>18</v>
      </c>
      <c r="C7" s="3" t="s">
        <v>71</v>
      </c>
      <c r="D7" s="3"/>
      <c r="E7" s="3"/>
      <c r="F7" s="3"/>
      <c r="G7" s="11"/>
      <c r="H7" s="11"/>
      <c r="I7" s="3"/>
    </row>
    <row r="8" spans="1:9" ht="15">
      <c r="A8" s="3" t="s">
        <v>72</v>
      </c>
      <c r="B8" s="3" t="s">
        <v>18</v>
      </c>
      <c r="C8" s="3" t="s">
        <v>73</v>
      </c>
      <c r="D8" s="3"/>
      <c r="E8" s="3"/>
      <c r="F8" s="3"/>
      <c r="G8" s="11"/>
      <c r="H8" s="11"/>
      <c r="I8" s="3"/>
    </row>
    <row r="9" spans="1:9" ht="15">
      <c r="A9" s="3" t="s">
        <v>74</v>
      </c>
      <c r="B9" s="3" t="s">
        <v>18</v>
      </c>
      <c r="C9" s="3" t="s">
        <v>75</v>
      </c>
      <c r="D9" s="3"/>
      <c r="E9" s="3"/>
      <c r="F9" s="3"/>
      <c r="G9" s="11"/>
      <c r="H9" s="11"/>
      <c r="I9" s="3"/>
    </row>
    <row r="10" spans="1:9" ht="15">
      <c r="A10" s="3" t="s">
        <v>76</v>
      </c>
      <c r="B10" s="3" t="s">
        <v>18</v>
      </c>
      <c r="C10" s="3" t="s">
        <v>77</v>
      </c>
      <c r="D10" s="3"/>
      <c r="E10" s="3"/>
      <c r="F10" s="3"/>
      <c r="G10" s="11"/>
      <c r="H10" s="11"/>
      <c r="I10" s="3"/>
    </row>
    <row r="11" spans="1:9" ht="15">
      <c r="A11" s="3" t="s">
        <v>78</v>
      </c>
      <c r="B11" s="3" t="s">
        <v>18</v>
      </c>
      <c r="C11" s="3" t="s">
        <v>79</v>
      </c>
      <c r="D11" s="3"/>
      <c r="E11" s="3"/>
      <c r="F11" s="3"/>
      <c r="G11" s="11"/>
      <c r="H11" s="11"/>
      <c r="I11" s="3"/>
    </row>
    <row r="12" spans="1:9" ht="15">
      <c r="A12" s="3" t="s">
        <v>80</v>
      </c>
      <c r="B12" s="3" t="s">
        <v>18</v>
      </c>
      <c r="C12" s="3" t="s">
        <v>81</v>
      </c>
      <c r="D12" s="3"/>
      <c r="E12" s="3"/>
      <c r="F12" s="3"/>
      <c r="G12" s="11"/>
      <c r="H12" s="11"/>
      <c r="I12" s="3"/>
    </row>
    <row r="13" spans="1:9" ht="15">
      <c r="A13" s="3" t="s">
        <v>82</v>
      </c>
      <c r="B13" s="3" t="s">
        <v>18</v>
      </c>
      <c r="C13" s="3" t="s">
        <v>83</v>
      </c>
      <c r="D13" s="3"/>
      <c r="E13" s="3"/>
      <c r="F13" s="3"/>
      <c r="G13" s="11"/>
      <c r="H13" s="11"/>
      <c r="I13" s="3"/>
    </row>
    <row r="14" spans="1:9" ht="15">
      <c r="A14" s="3" t="s">
        <v>84</v>
      </c>
      <c r="B14" s="3" t="s">
        <v>18</v>
      </c>
      <c r="C14" s="3" t="s">
        <v>85</v>
      </c>
      <c r="D14" s="3"/>
      <c r="E14" s="3"/>
      <c r="F14" s="3"/>
      <c r="G14" s="11"/>
      <c r="H14" s="11"/>
      <c r="I14" s="3"/>
    </row>
    <row r="15" spans="1:9" ht="15">
      <c r="A15" s="3" t="s">
        <v>86</v>
      </c>
      <c r="B15" s="3" t="s">
        <v>18</v>
      </c>
      <c r="C15" s="3" t="s">
        <v>87</v>
      </c>
      <c r="D15" s="3"/>
      <c r="E15" s="3"/>
      <c r="F15" s="3"/>
      <c r="G15" s="11"/>
      <c r="H15" s="11"/>
      <c r="I15" s="3"/>
    </row>
    <row r="16" spans="1:9" ht="15">
      <c r="A16" s="3" t="s">
        <v>88</v>
      </c>
      <c r="B16" s="3" t="s">
        <v>18</v>
      </c>
      <c r="C16" s="3" t="s">
        <v>89</v>
      </c>
      <c r="D16" s="3"/>
      <c r="E16" s="3"/>
      <c r="F16" s="3"/>
      <c r="G16" s="11"/>
      <c r="H16" s="11"/>
      <c r="I16" s="3"/>
    </row>
    <row r="17" spans="1:9" ht="15">
      <c r="A17" s="3" t="s">
        <v>90</v>
      </c>
      <c r="B17" s="3" t="s">
        <v>19</v>
      </c>
      <c r="C17" s="3" t="s">
        <v>92</v>
      </c>
      <c r="D17" s="3"/>
      <c r="E17" s="3"/>
      <c r="F17" s="3"/>
      <c r="G17" s="11"/>
      <c r="H17" s="11"/>
      <c r="I17" s="3"/>
    </row>
    <row r="18" spans="1:9" ht="15">
      <c r="A18" s="3" t="s">
        <v>93</v>
      </c>
      <c r="B18" s="3" t="s">
        <v>19</v>
      </c>
      <c r="C18" s="3" t="s">
        <v>94</v>
      </c>
      <c r="D18" s="3"/>
      <c r="E18" s="3"/>
      <c r="F18" s="3"/>
      <c r="G18" s="11"/>
      <c r="H18" s="11"/>
      <c r="I18" s="3"/>
    </row>
    <row r="19" spans="1:9" ht="15">
      <c r="A19" s="3" t="s">
        <v>95</v>
      </c>
      <c r="B19" s="3" t="s">
        <v>19</v>
      </c>
      <c r="C19" s="3" t="s">
        <v>96</v>
      </c>
      <c r="D19" s="3"/>
      <c r="E19" s="3"/>
      <c r="F19" s="3"/>
      <c r="G19" s="11"/>
      <c r="H19" s="11"/>
      <c r="I19" s="3"/>
    </row>
    <row r="20" spans="1:9" ht="15">
      <c r="A20" s="3" t="s">
        <v>97</v>
      </c>
      <c r="B20" s="3" t="s">
        <v>19</v>
      </c>
      <c r="C20" s="3" t="s">
        <v>98</v>
      </c>
      <c r="D20" s="3"/>
      <c r="E20" s="3"/>
      <c r="F20" s="3"/>
      <c r="G20" s="11"/>
      <c r="H20" s="11"/>
      <c r="I20" s="3"/>
    </row>
    <row r="21" spans="1:9" ht="15">
      <c r="A21" s="3" t="s">
        <v>99</v>
      </c>
      <c r="B21" s="3" t="s">
        <v>19</v>
      </c>
      <c r="C21" s="3" t="s">
        <v>100</v>
      </c>
      <c r="D21" s="3"/>
      <c r="E21" s="3"/>
      <c r="F21" s="3"/>
      <c r="G21" s="11"/>
      <c r="H21" s="11"/>
      <c r="I21" s="3"/>
    </row>
    <row r="22" spans="1:9" ht="15">
      <c r="A22" s="3" t="s">
        <v>101</v>
      </c>
      <c r="B22" s="3" t="s">
        <v>19</v>
      </c>
      <c r="C22" s="3" t="s">
        <v>102</v>
      </c>
      <c r="D22" s="3"/>
      <c r="E22" s="3"/>
      <c r="F22" s="3"/>
      <c r="G22" s="11"/>
      <c r="H22" s="11"/>
      <c r="I22" s="3"/>
    </row>
    <row r="23" spans="1:9" ht="15">
      <c r="A23" s="3" t="s">
        <v>103</v>
      </c>
      <c r="B23" s="3" t="s">
        <v>19</v>
      </c>
      <c r="C23" s="3" t="s">
        <v>104</v>
      </c>
      <c r="D23" s="3"/>
      <c r="E23" s="3"/>
      <c r="F23" s="3"/>
      <c r="G23" s="11"/>
      <c r="H23" s="11"/>
      <c r="I23" s="3"/>
    </row>
    <row r="24" spans="1:9" ht="15">
      <c r="A24" s="3" t="s">
        <v>105</v>
      </c>
      <c r="B24" s="3" t="s">
        <v>19</v>
      </c>
      <c r="C24" s="3" t="s">
        <v>106</v>
      </c>
      <c r="D24" s="3"/>
      <c r="E24" s="3"/>
      <c r="F24" s="3"/>
      <c r="G24" s="11"/>
      <c r="H24" s="11"/>
      <c r="I24" s="3"/>
    </row>
    <row r="25" spans="1:9" ht="15">
      <c r="A25" s="3" t="s">
        <v>107</v>
      </c>
      <c r="B25" s="3" t="s">
        <v>19</v>
      </c>
      <c r="C25" s="3" t="s">
        <v>108</v>
      </c>
      <c r="D25" s="3"/>
      <c r="E25" s="3"/>
      <c r="F25" s="3"/>
      <c r="G25" s="11"/>
      <c r="H25" s="11"/>
      <c r="I25" s="3"/>
    </row>
    <row r="26" spans="1:9" ht="15">
      <c r="A26" s="3" t="s">
        <v>109</v>
      </c>
      <c r="B26" s="3" t="s">
        <v>19</v>
      </c>
      <c r="C26" s="3" t="s">
        <v>110</v>
      </c>
      <c r="D26" s="3"/>
      <c r="E26" s="3"/>
      <c r="F26" s="3"/>
      <c r="G26" s="11"/>
      <c r="H26" s="11"/>
      <c r="I26" s="3"/>
    </row>
    <row r="27" spans="1:9" ht="15">
      <c r="A27" s="3" t="s">
        <v>111</v>
      </c>
      <c r="B27" s="3" t="s">
        <v>20</v>
      </c>
      <c r="C27" s="3" t="s">
        <v>113</v>
      </c>
      <c r="D27" s="3"/>
      <c r="E27" s="3"/>
      <c r="F27" s="3"/>
      <c r="G27" s="11"/>
      <c r="H27" s="11"/>
      <c r="I27" s="3"/>
    </row>
    <row r="28" spans="1:9" ht="15">
      <c r="A28" s="3" t="s">
        <v>114</v>
      </c>
      <c r="B28" s="3" t="s">
        <v>20</v>
      </c>
      <c r="C28" s="3" t="s">
        <v>115</v>
      </c>
      <c r="D28" s="3"/>
      <c r="E28" s="3"/>
      <c r="F28" s="3"/>
      <c r="G28" s="11"/>
      <c r="H28" s="11"/>
      <c r="I28" s="3"/>
    </row>
    <row r="29" spans="1:9" ht="15">
      <c r="A29" s="3" t="s">
        <v>116</v>
      </c>
      <c r="B29" s="3" t="s">
        <v>20</v>
      </c>
      <c r="C29" s="3" t="s">
        <v>117</v>
      </c>
      <c r="D29" s="3"/>
      <c r="E29" s="3"/>
      <c r="F29" s="3"/>
      <c r="G29" s="11"/>
      <c r="H29" s="11"/>
      <c r="I29" s="3"/>
    </row>
    <row r="30" spans="1:9" ht="15">
      <c r="A30" s="3" t="s">
        <v>118</v>
      </c>
      <c r="B30" s="3" t="s">
        <v>20</v>
      </c>
      <c r="C30" s="3" t="s">
        <v>119</v>
      </c>
      <c r="D30" s="3"/>
      <c r="E30" s="3"/>
      <c r="F30" s="3"/>
      <c r="G30" s="11"/>
      <c r="H30" s="11"/>
      <c r="I30" s="3"/>
    </row>
    <row r="31" spans="1:9" ht="15">
      <c r="A31" s="3" t="s">
        <v>120</v>
      </c>
      <c r="B31" s="3" t="s">
        <v>20</v>
      </c>
      <c r="C31" s="3" t="s">
        <v>121</v>
      </c>
      <c r="D31" s="3"/>
      <c r="E31" s="3"/>
      <c r="F31" s="3"/>
      <c r="G31" s="11"/>
      <c r="H31" s="11"/>
      <c r="I31" s="3"/>
    </row>
    <row r="32" spans="1:9" ht="15">
      <c r="A32" s="3" t="s">
        <v>122</v>
      </c>
      <c r="B32" s="3" t="s">
        <v>20</v>
      </c>
      <c r="C32" s="3" t="s">
        <v>123</v>
      </c>
      <c r="D32" s="3"/>
      <c r="E32" s="3"/>
      <c r="F32" s="3"/>
      <c r="G32" s="11"/>
      <c r="H32" s="11"/>
      <c r="I32" s="3"/>
    </row>
    <row r="33" spans="1:9" ht="15">
      <c r="A33" s="3" t="s">
        <v>124</v>
      </c>
      <c r="B33" s="3" t="s">
        <v>20</v>
      </c>
      <c r="C33" s="3" t="s">
        <v>125</v>
      </c>
      <c r="D33" s="3"/>
      <c r="E33" s="3"/>
      <c r="F33" s="3"/>
      <c r="G33" s="11"/>
      <c r="H33" s="11"/>
      <c r="I33" s="3"/>
    </row>
    <row r="34" spans="1:9" ht="15">
      <c r="A34" s="3" t="s">
        <v>126</v>
      </c>
      <c r="B34" s="3" t="s">
        <v>20</v>
      </c>
      <c r="C34" s="3" t="s">
        <v>127</v>
      </c>
      <c r="D34" s="3"/>
      <c r="E34" s="3"/>
      <c r="F34" s="3"/>
      <c r="G34" s="11"/>
      <c r="H34" s="11"/>
      <c r="I34" s="3"/>
    </row>
    <row r="35" spans="1:9" ht="15">
      <c r="A35" s="3" t="s">
        <v>128</v>
      </c>
      <c r="B35" s="3" t="s">
        <v>20</v>
      </c>
      <c r="C35" s="3" t="s">
        <v>129</v>
      </c>
      <c r="D35" s="3"/>
      <c r="E35" s="3"/>
      <c r="F35" s="3"/>
      <c r="G35" s="11"/>
      <c r="H35" s="11"/>
      <c r="I35" s="3"/>
    </row>
    <row r="36" spans="1:9" ht="15">
      <c r="A36" s="3" t="s">
        <v>130</v>
      </c>
      <c r="B36" s="3" t="s">
        <v>20</v>
      </c>
      <c r="C36" s="3" t="s">
        <v>131</v>
      </c>
      <c r="D36" s="3"/>
      <c r="E36" s="3"/>
      <c r="F36" s="3"/>
      <c r="G36" s="11"/>
      <c r="H36" s="11"/>
      <c r="I36" s="3"/>
    </row>
    <row r="37" spans="1:9" ht="15">
      <c r="A37" s="3" t="s">
        <v>132</v>
      </c>
      <c r="B37" s="3" t="s">
        <v>20</v>
      </c>
      <c r="C37" s="3" t="s">
        <v>133</v>
      </c>
      <c r="D37" s="3"/>
      <c r="E37" s="3"/>
      <c r="F37" s="3"/>
      <c r="G37" s="11"/>
      <c r="H37" s="11"/>
      <c r="I37" s="3"/>
    </row>
    <row r="38" spans="1:9" ht="15">
      <c r="A38" s="3" t="s">
        <v>134</v>
      </c>
      <c r="B38" s="3" t="s">
        <v>20</v>
      </c>
      <c r="C38" s="3" t="s">
        <v>135</v>
      </c>
      <c r="D38" s="3"/>
      <c r="E38" s="3"/>
      <c r="F38" s="3"/>
      <c r="G38" s="11"/>
      <c r="H38" s="11"/>
      <c r="I38" s="3"/>
    </row>
    <row r="39" spans="1:9" ht="15">
      <c r="A39" s="3" t="s">
        <v>136</v>
      </c>
      <c r="B39" s="3" t="s">
        <v>20</v>
      </c>
      <c r="C39" s="3" t="s">
        <v>137</v>
      </c>
      <c r="D39" s="3"/>
      <c r="E39" s="3"/>
      <c r="F39" s="3"/>
      <c r="G39" s="11"/>
      <c r="H39" s="11"/>
      <c r="I39" s="3"/>
    </row>
    <row r="40" spans="1:9" ht="15">
      <c r="A40" s="3" t="s">
        <v>138</v>
      </c>
      <c r="B40" s="3" t="s">
        <v>20</v>
      </c>
      <c r="C40" s="3" t="s">
        <v>139</v>
      </c>
      <c r="D40" s="3"/>
      <c r="E40" s="3"/>
      <c r="F40" s="3"/>
      <c r="G40" s="11"/>
      <c r="H40" s="11"/>
      <c r="I40" s="3"/>
    </row>
    <row r="41" spans="1:9" ht="15">
      <c r="A41" s="3" t="s">
        <v>140</v>
      </c>
      <c r="B41" s="3" t="s">
        <v>21</v>
      </c>
      <c r="C41" s="3" t="s">
        <v>142</v>
      </c>
      <c r="D41" s="3"/>
      <c r="E41" s="3"/>
      <c r="F41" s="3"/>
      <c r="G41" s="11"/>
      <c r="H41" s="11"/>
      <c r="I41" s="3"/>
    </row>
    <row r="42" spans="1:9" ht="15">
      <c r="A42" s="3" t="s">
        <v>143</v>
      </c>
      <c r="B42" s="3" t="s">
        <v>21</v>
      </c>
      <c r="C42" s="3" t="s">
        <v>144</v>
      </c>
      <c r="D42" s="3"/>
      <c r="E42" s="3"/>
      <c r="F42" s="3"/>
      <c r="G42" s="11"/>
      <c r="H42" s="11"/>
      <c r="I42" s="3"/>
    </row>
    <row r="43" spans="1:9" ht="15">
      <c r="A43" s="3" t="s">
        <v>145</v>
      </c>
      <c r="B43" s="3" t="s">
        <v>21</v>
      </c>
      <c r="C43" s="3" t="s">
        <v>146</v>
      </c>
      <c r="D43" s="3"/>
      <c r="E43" s="3"/>
      <c r="F43" s="3"/>
      <c r="G43" s="11"/>
      <c r="H43" s="11"/>
      <c r="I43" s="3"/>
    </row>
    <row r="44" spans="1:9" ht="15">
      <c r="A44" s="3" t="s">
        <v>147</v>
      </c>
      <c r="B44" s="3" t="s">
        <v>21</v>
      </c>
      <c r="C44" s="3" t="s">
        <v>148</v>
      </c>
      <c r="D44" s="3"/>
      <c r="E44" s="3"/>
      <c r="F44" s="3"/>
      <c r="G44" s="11"/>
      <c r="H44" s="11"/>
      <c r="I44" s="3"/>
    </row>
    <row r="45" spans="1:9" ht="15">
      <c r="A45" s="3" t="s">
        <v>149</v>
      </c>
      <c r="B45" s="3" t="s">
        <v>21</v>
      </c>
      <c r="C45" s="3" t="s">
        <v>150</v>
      </c>
      <c r="D45" s="3"/>
      <c r="E45" s="3"/>
      <c r="F45" s="3"/>
      <c r="G45" s="11"/>
      <c r="H45" s="11"/>
      <c r="I45" s="3"/>
    </row>
    <row r="46" spans="1:9" ht="15">
      <c r="A46" s="3" t="s">
        <v>151</v>
      </c>
      <c r="B46" s="3" t="s">
        <v>21</v>
      </c>
      <c r="C46" s="3" t="s">
        <v>152</v>
      </c>
      <c r="D46" s="3"/>
      <c r="E46" s="3"/>
      <c r="F46" s="3"/>
      <c r="G46" s="11"/>
      <c r="H46" s="11"/>
      <c r="I46" s="3"/>
    </row>
    <row r="47" spans="1:9" ht="15">
      <c r="A47" s="3" t="s">
        <v>153</v>
      </c>
      <c r="B47" s="3" t="s">
        <v>21</v>
      </c>
      <c r="C47" s="3" t="s">
        <v>154</v>
      </c>
      <c r="D47" s="3"/>
      <c r="E47" s="3"/>
      <c r="F47" s="3"/>
      <c r="G47" s="11"/>
      <c r="H47" s="11"/>
      <c r="I47" s="3"/>
    </row>
    <row r="48" spans="1:9" ht="15">
      <c r="A48" s="3" t="s">
        <v>155</v>
      </c>
      <c r="B48" s="3" t="s">
        <v>21</v>
      </c>
      <c r="C48" s="3" t="s">
        <v>156</v>
      </c>
      <c r="D48" s="3"/>
      <c r="E48" s="3"/>
      <c r="F48" s="3"/>
      <c r="G48" s="11"/>
      <c r="H48" s="11"/>
      <c r="I48" s="3"/>
    </row>
    <row r="49" spans="1:9" ht="15">
      <c r="A49" s="3" t="s">
        <v>157</v>
      </c>
      <c r="B49" s="3" t="s">
        <v>21</v>
      </c>
      <c r="C49" s="3" t="s">
        <v>158</v>
      </c>
      <c r="D49" s="3"/>
      <c r="E49" s="3"/>
      <c r="F49" s="3"/>
      <c r="G49" s="11"/>
      <c r="H49" s="11"/>
      <c r="I49" s="3"/>
    </row>
    <row r="50" spans="1:9" ht="15">
      <c r="A50" s="3" t="s">
        <v>159</v>
      </c>
      <c r="B50" s="3" t="s">
        <v>21</v>
      </c>
      <c r="C50" s="3" t="s">
        <v>160</v>
      </c>
      <c r="D50" s="3"/>
      <c r="E50" s="3"/>
      <c r="F50" s="3"/>
      <c r="G50" s="11"/>
      <c r="H50" s="11"/>
      <c r="I50" s="3"/>
    </row>
    <row r="51" spans="1:9" ht="15">
      <c r="A51" s="3" t="s">
        <v>161</v>
      </c>
      <c r="B51" s="3" t="s">
        <v>21</v>
      </c>
      <c r="C51" s="3" t="s">
        <v>162</v>
      </c>
      <c r="D51" s="3"/>
      <c r="E51" s="3"/>
      <c r="F51" s="3"/>
      <c r="G51" s="11"/>
      <c r="H51" s="11"/>
      <c r="I51" s="3"/>
    </row>
    <row r="52" spans="1:9" ht="15">
      <c r="A52" s="3" t="s">
        <v>163</v>
      </c>
      <c r="B52" s="3" t="s">
        <v>21</v>
      </c>
      <c r="C52" s="3" t="s">
        <v>164</v>
      </c>
      <c r="D52" s="3"/>
      <c r="E52" s="3"/>
      <c r="F52" s="3"/>
      <c r="G52" s="11"/>
      <c r="H52" s="11"/>
      <c r="I52" s="3"/>
    </row>
    <row r="53" spans="1:9" ht="15">
      <c r="A53" s="3" t="s">
        <v>165</v>
      </c>
      <c r="B53" s="3" t="s">
        <v>21</v>
      </c>
      <c r="C53" s="3" t="s">
        <v>166</v>
      </c>
      <c r="D53" s="3"/>
      <c r="E53" s="3"/>
      <c r="F53" s="3"/>
      <c r="G53" s="11"/>
      <c r="H53" s="11"/>
      <c r="I53" s="3"/>
    </row>
    <row r="54" spans="1:9" ht="15">
      <c r="A54" s="3" t="s">
        <v>167</v>
      </c>
      <c r="B54" s="3" t="s">
        <v>21</v>
      </c>
      <c r="C54" s="3" t="s">
        <v>168</v>
      </c>
      <c r="D54" s="3"/>
      <c r="E54" s="3"/>
      <c r="F54" s="3"/>
      <c r="G54" s="11"/>
      <c r="H54" s="11"/>
      <c r="I54" s="3"/>
    </row>
    <row r="55" spans="1:9" ht="15">
      <c r="A55" s="3" t="s">
        <v>169</v>
      </c>
      <c r="B55" s="3" t="s">
        <v>22</v>
      </c>
      <c r="C55" s="3" t="s">
        <v>171</v>
      </c>
      <c r="D55" s="3"/>
      <c r="E55" s="3"/>
      <c r="F55" s="3"/>
      <c r="G55" s="11"/>
      <c r="H55" s="11"/>
      <c r="I55" s="3"/>
    </row>
    <row r="56" spans="1:9" ht="15">
      <c r="A56" s="3" t="s">
        <v>172</v>
      </c>
      <c r="B56" s="3" t="s">
        <v>22</v>
      </c>
      <c r="C56" s="3" t="s">
        <v>173</v>
      </c>
      <c r="D56" s="3"/>
      <c r="E56" s="3"/>
      <c r="F56" s="3"/>
      <c r="G56" s="11"/>
      <c r="H56" s="11"/>
      <c r="I56" s="3"/>
    </row>
    <row r="57" spans="1:9" ht="15">
      <c r="A57" s="3" t="s">
        <v>174</v>
      </c>
      <c r="B57" s="3" t="s">
        <v>22</v>
      </c>
      <c r="C57" s="3" t="s">
        <v>175</v>
      </c>
      <c r="D57" s="3"/>
      <c r="E57" s="3"/>
      <c r="F57" s="3"/>
      <c r="G57" s="11"/>
      <c r="H57" s="11"/>
      <c r="I57" s="3"/>
    </row>
    <row r="58" spans="1:9" ht="15">
      <c r="A58" s="3" t="s">
        <v>176</v>
      </c>
      <c r="B58" s="3" t="s">
        <v>22</v>
      </c>
      <c r="C58" s="3" t="s">
        <v>177</v>
      </c>
      <c r="D58" s="3"/>
      <c r="E58" s="3"/>
      <c r="F58" s="3"/>
      <c r="G58" s="11"/>
      <c r="H58" s="11"/>
      <c r="I58" s="3"/>
    </row>
    <row r="59" spans="1:9" ht="15">
      <c r="A59" s="3" t="s">
        <v>178</v>
      </c>
      <c r="B59" s="3" t="s">
        <v>22</v>
      </c>
      <c r="C59" s="3" t="s">
        <v>179</v>
      </c>
      <c r="D59" s="3"/>
      <c r="E59" s="3"/>
      <c r="F59" s="3"/>
      <c r="G59" s="11"/>
      <c r="H59" s="11"/>
      <c r="I59" s="3"/>
    </row>
    <row r="60" spans="1:9" ht="15">
      <c r="A60" s="3" t="s">
        <v>180</v>
      </c>
      <c r="B60" s="3" t="s">
        <v>22</v>
      </c>
      <c r="C60" s="3" t="s">
        <v>181</v>
      </c>
      <c r="D60" s="3"/>
      <c r="E60" s="3"/>
      <c r="F60" s="3"/>
      <c r="G60" s="11"/>
      <c r="H60" s="11"/>
      <c r="I60" s="3"/>
    </row>
    <row r="61" spans="1:9" ht="15">
      <c r="A61" s="3" t="s">
        <v>182</v>
      </c>
      <c r="B61" s="3" t="s">
        <v>22</v>
      </c>
      <c r="C61" s="3" t="s">
        <v>183</v>
      </c>
      <c r="D61" s="3"/>
      <c r="E61" s="3"/>
      <c r="F61" s="3"/>
      <c r="G61" s="11"/>
      <c r="H61" s="11"/>
      <c r="I61" s="3"/>
    </row>
    <row r="62" spans="1:9" ht="15">
      <c r="A62" s="3" t="s">
        <v>184</v>
      </c>
      <c r="B62" s="3" t="s">
        <v>22</v>
      </c>
      <c r="C62" s="3" t="s">
        <v>185</v>
      </c>
      <c r="D62" s="3"/>
      <c r="E62" s="3"/>
      <c r="F62" s="3"/>
      <c r="G62" s="11"/>
      <c r="H62" s="11"/>
      <c r="I62" s="3"/>
    </row>
    <row r="63" spans="1:9" ht="15">
      <c r="A63" s="3" t="s">
        <v>186</v>
      </c>
      <c r="B63" s="3" t="s">
        <v>23</v>
      </c>
      <c r="C63" s="3" t="s">
        <v>187</v>
      </c>
      <c r="D63" s="3"/>
      <c r="E63" s="3"/>
      <c r="F63" s="3"/>
      <c r="G63" s="11"/>
      <c r="H63" s="11"/>
      <c r="I63" s="3"/>
    </row>
    <row r="64" spans="1:9" ht="15">
      <c r="A64" s="3" t="s">
        <v>189</v>
      </c>
      <c r="B64" s="3" t="s">
        <v>23</v>
      </c>
      <c r="C64" s="3" t="s">
        <v>190</v>
      </c>
      <c r="D64" s="3"/>
      <c r="E64" s="3"/>
      <c r="F64" s="3"/>
      <c r="G64" s="11"/>
      <c r="H64" s="11"/>
      <c r="I64" s="3"/>
    </row>
    <row r="65" spans="1:9" ht="15">
      <c r="A65" s="3" t="s">
        <v>191</v>
      </c>
      <c r="B65" s="3" t="s">
        <v>23</v>
      </c>
      <c r="C65" s="3" t="s">
        <v>192</v>
      </c>
      <c r="D65" s="3"/>
      <c r="E65" s="3"/>
      <c r="F65" s="3"/>
      <c r="G65" s="11"/>
      <c r="H65" s="11"/>
      <c r="I65" s="3"/>
    </row>
    <row r="66" spans="1:9" ht="15">
      <c r="A66" s="3" t="s">
        <v>193</v>
      </c>
      <c r="B66" s="3" t="s">
        <v>23</v>
      </c>
      <c r="C66" s="3" t="s">
        <v>194</v>
      </c>
      <c r="D66" s="3"/>
      <c r="E66" s="3"/>
      <c r="F66" s="3"/>
      <c r="G66" s="11"/>
      <c r="H66" s="11"/>
      <c r="I66" s="3"/>
    </row>
    <row r="67" spans="1:9" ht="15">
      <c r="A67" s="3" t="s">
        <v>195</v>
      </c>
      <c r="B67" s="3" t="s">
        <v>23</v>
      </c>
      <c r="C67" s="3" t="s">
        <v>196</v>
      </c>
      <c r="D67" s="3"/>
      <c r="E67" s="3"/>
      <c r="F67" s="3"/>
      <c r="G67" s="11"/>
      <c r="H67" s="11"/>
      <c r="I67" s="3"/>
    </row>
    <row r="68" spans="1:9" ht="15">
      <c r="A68" s="3" t="s">
        <v>197</v>
      </c>
      <c r="B68" s="3" t="s">
        <v>23</v>
      </c>
      <c r="C68" s="3" t="s">
        <v>198</v>
      </c>
      <c r="D68" s="3"/>
      <c r="E68" s="3"/>
      <c r="F68" s="3"/>
      <c r="G68" s="11"/>
      <c r="H68" s="11"/>
      <c r="I68" s="3"/>
    </row>
    <row r="69" spans="1:9" ht="15">
      <c r="A69" s="3" t="s">
        <v>199</v>
      </c>
      <c r="B69" s="3" t="s">
        <v>23</v>
      </c>
      <c r="C69" s="3" t="s">
        <v>200</v>
      </c>
      <c r="D69" s="3"/>
      <c r="E69" s="3"/>
      <c r="F69" s="3"/>
      <c r="G69" s="11"/>
      <c r="H69" s="11"/>
      <c r="I69" s="3"/>
    </row>
    <row r="70" spans="1:9" ht="15">
      <c r="A70" s="3" t="s">
        <v>201</v>
      </c>
      <c r="B70" s="3" t="s">
        <v>23</v>
      </c>
      <c r="C70" s="3" t="s">
        <v>202</v>
      </c>
      <c r="D70" s="3"/>
      <c r="E70" s="3"/>
      <c r="F70" s="3"/>
      <c r="G70" s="11"/>
      <c r="H70" s="11"/>
      <c r="I70" s="3"/>
    </row>
    <row r="71" spans="1:9" ht="15">
      <c r="A71" s="3" t="s">
        <v>203</v>
      </c>
      <c r="B71" s="3" t="s">
        <v>23</v>
      </c>
      <c r="C71" s="3" t="s">
        <v>204</v>
      </c>
      <c r="D71" s="3"/>
      <c r="E71" s="3"/>
      <c r="F71" s="3"/>
      <c r="G71" s="11"/>
      <c r="H71" s="11"/>
      <c r="I71" s="3"/>
    </row>
    <row r="72" spans="1:9" ht="15">
      <c r="A72" s="3" t="s">
        <v>205</v>
      </c>
      <c r="B72" s="3" t="s">
        <v>23</v>
      </c>
      <c r="C72" s="3" t="s">
        <v>206</v>
      </c>
      <c r="D72" s="3"/>
      <c r="E72" s="3"/>
      <c r="F72" s="3"/>
      <c r="G72" s="11"/>
      <c r="H72" s="11"/>
      <c r="I72" s="3"/>
    </row>
    <row r="73" spans="1:9" ht="15">
      <c r="A73" s="3" t="s">
        <v>207</v>
      </c>
      <c r="B73" s="3" t="s">
        <v>23</v>
      </c>
      <c r="C73" s="3" t="s">
        <v>208</v>
      </c>
      <c r="D73" s="3"/>
      <c r="E73" s="3"/>
      <c r="F73" s="3"/>
      <c r="G73" s="11"/>
      <c r="H73" s="11"/>
      <c r="I73" s="3"/>
    </row>
    <row r="74" spans="1:9" ht="15">
      <c r="A74" s="3" t="s">
        <v>209</v>
      </c>
      <c r="B74" s="3" t="s">
        <v>23</v>
      </c>
      <c r="C74" s="3" t="s">
        <v>210</v>
      </c>
      <c r="D74" s="3"/>
      <c r="E74" s="3"/>
      <c r="F74" s="3"/>
      <c r="G74" s="11"/>
      <c r="H74" s="11"/>
      <c r="I74" s="3"/>
    </row>
    <row r="75" spans="1:9" ht="15">
      <c r="A75" s="3" t="s">
        <v>211</v>
      </c>
      <c r="B75" s="3" t="s">
        <v>23</v>
      </c>
      <c r="C75" s="3" t="s">
        <v>212</v>
      </c>
      <c r="D75" s="3"/>
      <c r="E75" s="3"/>
      <c r="F75" s="3"/>
      <c r="G75" s="11"/>
      <c r="H75" s="11"/>
      <c r="I75" s="3"/>
    </row>
    <row r="76" spans="1:9" ht="15">
      <c r="A76" s="3" t="s">
        <v>213</v>
      </c>
      <c r="B76" s="3" t="s">
        <v>23</v>
      </c>
      <c r="C76" s="3" t="s">
        <v>214</v>
      </c>
      <c r="D76" s="3"/>
      <c r="E76" s="3"/>
      <c r="F76" s="3"/>
      <c r="G76" s="11"/>
      <c r="H76" s="11"/>
      <c r="I76" s="3"/>
    </row>
    <row r="77" spans="1:9" ht="15">
      <c r="A77" s="3" t="s">
        <v>215</v>
      </c>
      <c r="B77" s="3" t="s">
        <v>23</v>
      </c>
      <c r="C77" s="3" t="s">
        <v>216</v>
      </c>
      <c r="D77" s="3"/>
      <c r="E77" s="3"/>
      <c r="F77" s="3"/>
      <c r="G77" s="11"/>
      <c r="H77" s="11"/>
      <c r="I77" s="3"/>
    </row>
    <row r="78" spans="1:9" ht="15">
      <c r="A78" s="3" t="s">
        <v>217</v>
      </c>
      <c r="B78" s="3" t="s">
        <v>23</v>
      </c>
      <c r="C78" s="3" t="s">
        <v>218</v>
      </c>
      <c r="D78" s="3"/>
      <c r="E78" s="3"/>
      <c r="F78" s="3"/>
      <c r="G78" s="11"/>
      <c r="H78" s="11"/>
      <c r="I78" s="3"/>
    </row>
    <row r="79" spans="1:9" ht="15">
      <c r="A79" s="3" t="s">
        <v>219</v>
      </c>
      <c r="B79" s="3" t="s">
        <v>23</v>
      </c>
      <c r="C79" s="3" t="s">
        <v>220</v>
      </c>
      <c r="D79" s="3"/>
      <c r="E79" s="3"/>
      <c r="F79" s="3"/>
      <c r="G79" s="11"/>
      <c r="H79" s="11"/>
      <c r="I79" s="3"/>
    </row>
    <row r="80" spans="1:9" ht="15">
      <c r="A80" s="3" t="s">
        <v>221</v>
      </c>
      <c r="B80" s="3" t="s">
        <v>23</v>
      </c>
      <c r="C80" s="3" t="s">
        <v>222</v>
      </c>
      <c r="D80" s="3"/>
      <c r="E80" s="3"/>
      <c r="F80" s="3"/>
      <c r="G80" s="11"/>
      <c r="H80" s="11"/>
      <c r="I80" s="3"/>
    </row>
    <row r="81" spans="1:9" ht="15">
      <c r="A81" s="3" t="s">
        <v>223</v>
      </c>
      <c r="B81" s="3" t="s">
        <v>23</v>
      </c>
      <c r="C81" s="3" t="s">
        <v>224</v>
      </c>
      <c r="D81" s="3"/>
      <c r="E81" s="3"/>
      <c r="F81" s="3"/>
      <c r="G81" s="11"/>
      <c r="H81" s="11"/>
      <c r="I81" s="3"/>
    </row>
    <row r="82" spans="1:9" ht="15">
      <c r="A82" s="3" t="s">
        <v>225</v>
      </c>
      <c r="B82" s="3" t="s">
        <v>23</v>
      </c>
      <c r="C82" s="3" t="s">
        <v>226</v>
      </c>
      <c r="D82" s="3"/>
      <c r="E82" s="3"/>
      <c r="F82" s="3"/>
      <c r="G82" s="11"/>
      <c r="H82" s="11"/>
      <c r="I82" s="3"/>
    </row>
    <row r="83" spans="1:9" ht="15">
      <c r="A83" s="3" t="s">
        <v>227</v>
      </c>
      <c r="B83" s="3" t="s">
        <v>24</v>
      </c>
      <c r="C83" s="3" t="s">
        <v>229</v>
      </c>
      <c r="D83" s="3"/>
      <c r="E83" s="3"/>
      <c r="F83" s="3"/>
      <c r="G83" s="11"/>
      <c r="H83" s="11"/>
      <c r="I83" s="3"/>
    </row>
    <row r="84" spans="1:9" ht="15">
      <c r="A84" s="3" t="s">
        <v>230</v>
      </c>
      <c r="B84" s="3" t="s">
        <v>24</v>
      </c>
      <c r="C84" s="3" t="s">
        <v>231</v>
      </c>
      <c r="D84" s="3"/>
      <c r="E84" s="3"/>
      <c r="F84" s="3"/>
      <c r="G84" s="11"/>
      <c r="H84" s="11"/>
      <c r="I84" s="3"/>
    </row>
    <row r="85" spans="1:9" ht="15">
      <c r="A85" s="3" t="s">
        <v>232</v>
      </c>
      <c r="B85" s="3" t="s">
        <v>24</v>
      </c>
      <c r="C85" s="3" t="s">
        <v>233</v>
      </c>
      <c r="D85" s="3"/>
      <c r="E85" s="3"/>
      <c r="F85" s="3"/>
      <c r="G85" s="11"/>
      <c r="H85" s="11"/>
      <c r="I85" s="3"/>
    </row>
    <row r="86" spans="1:9" ht="15">
      <c r="A86" s="3" t="s">
        <v>234</v>
      </c>
      <c r="B86" s="3" t="s">
        <v>24</v>
      </c>
      <c r="C86" s="3" t="s">
        <v>235</v>
      </c>
      <c r="D86" s="3"/>
      <c r="E86" s="3"/>
      <c r="F86" s="3"/>
      <c r="G86" s="11"/>
      <c r="H86" s="11"/>
      <c r="I86" s="3"/>
    </row>
    <row r="87" spans="1:9" ht="15">
      <c r="A87" s="3" t="s">
        <v>236</v>
      </c>
      <c r="B87" s="3" t="s">
        <v>24</v>
      </c>
      <c r="C87" s="3" t="s">
        <v>237</v>
      </c>
      <c r="D87" s="3"/>
      <c r="E87" s="3"/>
      <c r="F87" s="3"/>
      <c r="G87" s="11"/>
      <c r="H87" s="11"/>
      <c r="I87" s="3"/>
    </row>
    <row r="88" spans="1:9" ht="15">
      <c r="A88" s="3" t="s">
        <v>238</v>
      </c>
      <c r="B88" s="3" t="s">
        <v>24</v>
      </c>
      <c r="C88" s="3" t="s">
        <v>239</v>
      </c>
      <c r="D88" s="3"/>
      <c r="E88" s="3"/>
      <c r="F88" s="3"/>
      <c r="G88" s="11"/>
      <c r="H88" s="11"/>
      <c r="I88" s="3"/>
    </row>
    <row r="89" spans="1:9" ht="15">
      <c r="A89" s="3" t="s">
        <v>240</v>
      </c>
      <c r="B89" s="3" t="s">
        <v>24</v>
      </c>
      <c r="C89" s="3" t="s">
        <v>241</v>
      </c>
      <c r="D89" s="3"/>
      <c r="E89" s="3"/>
      <c r="F89" s="3"/>
      <c r="G89" s="11"/>
      <c r="H89" s="11"/>
      <c r="I89" s="3"/>
    </row>
    <row r="90" spans="1:9" ht="15">
      <c r="A90" s="3" t="s">
        <v>242</v>
      </c>
      <c r="B90" s="3" t="s">
        <v>24</v>
      </c>
      <c r="C90" s="3" t="s">
        <v>243</v>
      </c>
      <c r="D90" s="3"/>
      <c r="E90" s="3"/>
      <c r="F90" s="3"/>
      <c r="G90" s="11"/>
      <c r="H90" s="11"/>
      <c r="I90" s="3"/>
    </row>
    <row r="91" spans="1:9" ht="15">
      <c r="A91" s="3" t="s">
        <v>244</v>
      </c>
      <c r="B91" s="3" t="s">
        <v>24</v>
      </c>
      <c r="C91" s="3" t="s">
        <v>245</v>
      </c>
      <c r="D91" s="3"/>
      <c r="E91" s="3"/>
      <c r="F91" s="3"/>
      <c r="G91" s="11"/>
      <c r="H91" s="11"/>
      <c r="I91" s="3"/>
    </row>
    <row r="92" spans="1:9" ht="15">
      <c r="A92" s="3" t="s">
        <v>246</v>
      </c>
      <c r="B92" s="3" t="s">
        <v>24</v>
      </c>
      <c r="C92" s="3" t="s">
        <v>247</v>
      </c>
      <c r="D92" s="3"/>
      <c r="E92" s="3"/>
      <c r="F92" s="3"/>
      <c r="G92" s="11"/>
      <c r="H92" s="11"/>
      <c r="I92" s="3"/>
    </row>
    <row r="93" spans="1:9" ht="15">
      <c r="A93" s="3" t="s">
        <v>248</v>
      </c>
      <c r="B93" s="3" t="s">
        <v>25</v>
      </c>
      <c r="C93" s="3" t="s">
        <v>250</v>
      </c>
      <c r="D93" s="3"/>
      <c r="E93" s="3"/>
      <c r="F93" s="3"/>
      <c r="G93" s="11"/>
      <c r="H93" s="11"/>
      <c r="I93" s="3"/>
    </row>
    <row r="94" spans="1:9" ht="15">
      <c r="A94" s="3" t="s">
        <v>251</v>
      </c>
      <c r="B94" s="3" t="s">
        <v>25</v>
      </c>
      <c r="C94" s="3" t="s">
        <v>252</v>
      </c>
      <c r="D94" s="3"/>
      <c r="E94" s="3"/>
      <c r="F94" s="3"/>
      <c r="G94" s="11"/>
      <c r="H94" s="11"/>
      <c r="I94" s="3"/>
    </row>
    <row r="95" spans="1:9" ht="15">
      <c r="A95" s="3" t="s">
        <v>253</v>
      </c>
      <c r="B95" s="3" t="s">
        <v>25</v>
      </c>
      <c r="C95" s="3" t="s">
        <v>254</v>
      </c>
      <c r="D95" s="3"/>
      <c r="E95" s="3"/>
      <c r="F95" s="3"/>
      <c r="G95" s="11"/>
      <c r="H95" s="11"/>
      <c r="I95" s="3"/>
    </row>
    <row r="96" spans="1:9" ht="15">
      <c r="A96" s="3" t="s">
        <v>255</v>
      </c>
      <c r="B96" s="3" t="s">
        <v>25</v>
      </c>
      <c r="C96" s="3" t="s">
        <v>256</v>
      </c>
      <c r="D96" s="3"/>
      <c r="E96" s="3"/>
      <c r="F96" s="3"/>
      <c r="G96" s="11"/>
      <c r="H96" s="11"/>
      <c r="I96" s="3"/>
    </row>
    <row r="97" spans="1:9" ht="15">
      <c r="A97" s="3" t="s">
        <v>257</v>
      </c>
      <c r="B97" s="3" t="s">
        <v>25</v>
      </c>
      <c r="C97" s="3" t="s">
        <v>258</v>
      </c>
      <c r="D97" s="3"/>
      <c r="E97" s="3"/>
      <c r="F97" s="3"/>
      <c r="G97" s="11"/>
      <c r="H97" s="11"/>
      <c r="I97" s="3"/>
    </row>
    <row r="98" spans="1:9" ht="15">
      <c r="A98" s="3" t="s">
        <v>259</v>
      </c>
      <c r="B98" s="3" t="s">
        <v>25</v>
      </c>
      <c r="C98" s="3" t="s">
        <v>260</v>
      </c>
      <c r="D98" s="3"/>
      <c r="E98" s="3"/>
      <c r="F98" s="3"/>
      <c r="G98" s="11"/>
      <c r="H98" s="11"/>
      <c r="I98" s="3"/>
    </row>
    <row r="99" spans="1:9" ht="15">
      <c r="A99" s="3" t="s">
        <v>261</v>
      </c>
      <c r="B99" s="3" t="s">
        <v>26</v>
      </c>
      <c r="C99" s="3" t="s">
        <v>263</v>
      </c>
      <c r="D99" s="3"/>
      <c r="E99" s="3"/>
      <c r="F99" s="3"/>
      <c r="G99" s="11"/>
      <c r="H99" s="11"/>
      <c r="I99" s="3"/>
    </row>
    <row r="100" spans="1:9" ht="15">
      <c r="A100" s="3" t="s">
        <v>264</v>
      </c>
      <c r="B100" s="3" t="s">
        <v>26</v>
      </c>
      <c r="C100" s="3" t="s">
        <v>265</v>
      </c>
      <c r="D100" s="3"/>
      <c r="E100" s="3"/>
      <c r="F100" s="3"/>
      <c r="G100" s="11"/>
      <c r="H100" s="11"/>
      <c r="I100" s="3"/>
    </row>
    <row r="101" spans="1:9" ht="15">
      <c r="A101" s="3" t="s">
        <v>266</v>
      </c>
      <c r="B101" s="3" t="s">
        <v>26</v>
      </c>
      <c r="C101" s="3" t="s">
        <v>267</v>
      </c>
      <c r="D101" s="3"/>
      <c r="E101" s="3"/>
      <c r="F101" s="3"/>
      <c r="G101" s="11"/>
      <c r="H101" s="11"/>
      <c r="I101" s="3"/>
    </row>
    <row r="102" spans="1:9" ht="15">
      <c r="A102" s="3" t="s">
        <v>268</v>
      </c>
      <c r="B102" s="3" t="s">
        <v>26</v>
      </c>
      <c r="C102" s="3" t="s">
        <v>269</v>
      </c>
      <c r="D102" s="3"/>
      <c r="E102" s="3"/>
      <c r="F102" s="3"/>
      <c r="G102" s="11"/>
      <c r="H102" s="11"/>
      <c r="I102" s="3"/>
    </row>
    <row r="103" spans="1:9" ht="15">
      <c r="A103" s="3" t="s">
        <v>270</v>
      </c>
      <c r="B103" s="3" t="s">
        <v>26</v>
      </c>
      <c r="C103" s="3" t="s">
        <v>271</v>
      </c>
      <c r="D103" s="3"/>
      <c r="E103" s="3"/>
      <c r="F103" s="3"/>
      <c r="G103" s="11"/>
      <c r="H103" s="11"/>
      <c r="I103" s="3"/>
    </row>
    <row r="104" spans="1:9" ht="15">
      <c r="A104" s="3" t="s">
        <v>272</v>
      </c>
      <c r="B104" s="3" t="s">
        <v>26</v>
      </c>
      <c r="C104" s="3" t="s">
        <v>273</v>
      </c>
      <c r="D104" s="3"/>
      <c r="E104" s="3"/>
      <c r="F104" s="3"/>
      <c r="G104" s="11"/>
      <c r="H104" s="11"/>
      <c r="I104" s="3"/>
    </row>
    <row r="105" spans="1:9" ht="15">
      <c r="A105" s="3" t="s">
        <v>274</v>
      </c>
      <c r="B105" s="3" t="s">
        <v>27</v>
      </c>
      <c r="C105" s="3" t="s">
        <v>276</v>
      </c>
      <c r="D105" s="3"/>
      <c r="E105" s="3"/>
      <c r="F105" s="3"/>
      <c r="G105" s="11"/>
      <c r="H105" s="11"/>
      <c r="I105" s="3"/>
    </row>
    <row r="106" spans="1:9" ht="15">
      <c r="A106" s="3" t="s">
        <v>277</v>
      </c>
      <c r="B106" s="3" t="s">
        <v>27</v>
      </c>
      <c r="C106" s="3" t="s">
        <v>278</v>
      </c>
      <c r="D106" s="3"/>
      <c r="E106" s="3"/>
      <c r="F106" s="3"/>
      <c r="G106" s="11"/>
      <c r="H106" s="11"/>
      <c r="I106" s="3"/>
    </row>
    <row r="107" spans="1:9" ht="15">
      <c r="A107" s="3" t="s">
        <v>279</v>
      </c>
      <c r="B107" s="3" t="s">
        <v>27</v>
      </c>
      <c r="C107" s="3" t="s">
        <v>280</v>
      </c>
      <c r="D107" s="3"/>
      <c r="E107" s="3"/>
      <c r="F107" s="3"/>
      <c r="G107" s="11"/>
      <c r="H107" s="11"/>
      <c r="I107" s="3"/>
    </row>
    <row r="108" spans="1:9" ht="15">
      <c r="A108" s="3" t="s">
        <v>281</v>
      </c>
      <c r="B108" s="3" t="s">
        <v>27</v>
      </c>
      <c r="C108" s="3" t="s">
        <v>282</v>
      </c>
      <c r="D108" s="3"/>
      <c r="E108" s="3"/>
      <c r="F108" s="3"/>
      <c r="G108" s="11"/>
      <c r="H108" s="11"/>
      <c r="I108" s="3"/>
    </row>
    <row r="109" spans="1:9" ht="15">
      <c r="A109" s="3" t="s">
        <v>283</v>
      </c>
      <c r="B109" s="3" t="s">
        <v>27</v>
      </c>
      <c r="C109" s="3" t="s">
        <v>284</v>
      </c>
      <c r="D109" s="3"/>
      <c r="E109" s="3"/>
      <c r="F109" s="3"/>
      <c r="G109" s="11"/>
      <c r="H109" s="11"/>
      <c r="I109" s="3"/>
    </row>
    <row r="110" spans="1:9" ht="15">
      <c r="A110" s="3" t="s">
        <v>285</v>
      </c>
      <c r="B110" s="3" t="s">
        <v>27</v>
      </c>
      <c r="C110" s="3" t="s">
        <v>286</v>
      </c>
      <c r="D110" s="3"/>
      <c r="E110" s="3"/>
      <c r="F110" s="3"/>
      <c r="G110" s="11"/>
      <c r="H110" s="11"/>
      <c r="I110" s="3"/>
    </row>
    <row r="111" spans="1:9" ht="15">
      <c r="A111" s="3" t="s">
        <v>287</v>
      </c>
      <c r="B111" s="3" t="s">
        <v>27</v>
      </c>
      <c r="C111" s="3" t="s">
        <v>288</v>
      </c>
      <c r="D111" s="3"/>
      <c r="E111" s="3"/>
      <c r="F111" s="3"/>
      <c r="G111" s="11"/>
      <c r="H111" s="11"/>
      <c r="I111" s="3"/>
    </row>
    <row r="112" spans="1:9" ht="15">
      <c r="A112" s="3" t="s">
        <v>289</v>
      </c>
      <c r="B112" s="3" t="s">
        <v>27</v>
      </c>
      <c r="C112" s="3" t="s">
        <v>290</v>
      </c>
      <c r="D112" s="3"/>
      <c r="E112" s="3"/>
      <c r="F112" s="3"/>
      <c r="G112" s="11"/>
      <c r="H112" s="11"/>
      <c r="I112" s="3"/>
    </row>
    <row r="113" spans="1:9" ht="15">
      <c r="A113" s="3" t="s">
        <v>291</v>
      </c>
      <c r="B113" s="3" t="s">
        <v>27</v>
      </c>
      <c r="C113" s="3" t="s">
        <v>292</v>
      </c>
      <c r="D113" s="3"/>
      <c r="E113" s="3"/>
      <c r="F113" s="3"/>
      <c r="G113" s="11"/>
      <c r="H113" s="11"/>
      <c r="I113" s="3"/>
    </row>
    <row r="114" spans="1:9" ht="15">
      <c r="A114" s="3" t="s">
        <v>293</v>
      </c>
      <c r="B114" s="3" t="s">
        <v>27</v>
      </c>
      <c r="C114" s="3" t="s">
        <v>294</v>
      </c>
      <c r="D114" s="3"/>
      <c r="E114" s="3"/>
      <c r="F114" s="3"/>
      <c r="G114" s="11"/>
      <c r="H114" s="11"/>
      <c r="I114" s="3"/>
    </row>
    <row r="115" spans="1:9" ht="15">
      <c r="A115" s="3" t="s">
        <v>295</v>
      </c>
      <c r="B115" s="3" t="s">
        <v>28</v>
      </c>
      <c r="C115" s="3" t="s">
        <v>297</v>
      </c>
      <c r="D115" s="3"/>
      <c r="E115" s="3"/>
      <c r="F115" s="3"/>
      <c r="G115" s="11"/>
      <c r="H115" s="11"/>
      <c r="I115" s="3"/>
    </row>
    <row r="116" spans="1:9" ht="15">
      <c r="A116" s="3" t="s">
        <v>298</v>
      </c>
      <c r="B116" s="3" t="s">
        <v>28</v>
      </c>
      <c r="C116" s="3" t="s">
        <v>299</v>
      </c>
      <c r="D116" s="3"/>
      <c r="E116" s="3"/>
      <c r="F116" s="3"/>
      <c r="G116" s="11"/>
      <c r="H116" s="11"/>
      <c r="I116" s="3"/>
    </row>
    <row r="117" spans="1:9" ht="15">
      <c r="A117" s="3" t="s">
        <v>300</v>
      </c>
      <c r="B117" s="3" t="s">
        <v>28</v>
      </c>
      <c r="C117" s="3" t="s">
        <v>301</v>
      </c>
      <c r="D117" s="3"/>
      <c r="E117" s="3"/>
      <c r="F117" s="3"/>
      <c r="G117" s="11"/>
      <c r="H117" s="11"/>
      <c r="I117" s="3"/>
    </row>
    <row r="118" spans="1:9" ht="15">
      <c r="A118" s="3" t="s">
        <v>302</v>
      </c>
      <c r="B118" s="3" t="s">
        <v>28</v>
      </c>
      <c r="C118" s="3" t="s">
        <v>303</v>
      </c>
      <c r="D118" s="3"/>
      <c r="E118" s="3"/>
      <c r="F118" s="3"/>
      <c r="G118" s="11"/>
      <c r="H118" s="11"/>
      <c r="I118" s="3"/>
    </row>
    <row r="119" spans="1:9" ht="15">
      <c r="A119" s="3" t="s">
        <v>304</v>
      </c>
      <c r="B119" s="3" t="s">
        <v>28</v>
      </c>
      <c r="C119" s="3" t="s">
        <v>305</v>
      </c>
      <c r="D119" s="3"/>
      <c r="E119" s="3"/>
      <c r="F119" s="3"/>
      <c r="G119" s="11"/>
      <c r="H119" s="11"/>
      <c r="I119" s="3"/>
    </row>
    <row r="120" spans="1:9" ht="15">
      <c r="A120" s="3" t="s">
        <v>306</v>
      </c>
      <c r="B120" s="3" t="s">
        <v>28</v>
      </c>
      <c r="C120" s="3" t="s">
        <v>307</v>
      </c>
      <c r="D120" s="3"/>
      <c r="E120" s="3"/>
      <c r="F120" s="3"/>
      <c r="G120" s="11"/>
      <c r="H120" s="11"/>
      <c r="I120" s="3"/>
    </row>
    <row r="121" spans="1:9" ht="15">
      <c r="A121" s="3" t="s">
        <v>308</v>
      </c>
      <c r="B121" s="3" t="s">
        <v>28</v>
      </c>
      <c r="C121" s="3" t="s">
        <v>309</v>
      </c>
      <c r="D121" s="3"/>
      <c r="E121" s="3"/>
      <c r="F121" s="3"/>
      <c r="G121" s="11"/>
      <c r="H121" s="11"/>
      <c r="I121" s="3"/>
    </row>
    <row r="122" spans="1:9" ht="15">
      <c r="A122" s="3" t="s">
        <v>310</v>
      </c>
      <c r="B122" s="3" t="s">
        <v>29</v>
      </c>
      <c r="C122" s="3" t="s">
        <v>312</v>
      </c>
      <c r="D122" s="3"/>
      <c r="E122" s="3"/>
      <c r="F122" s="3"/>
      <c r="G122" s="11"/>
      <c r="H122" s="11"/>
      <c r="I122" s="3"/>
    </row>
    <row r="123" spans="1:9" ht="15">
      <c r="A123" s="3" t="s">
        <v>313</v>
      </c>
      <c r="B123" s="3" t="s">
        <v>29</v>
      </c>
      <c r="C123" s="3" t="s">
        <v>314</v>
      </c>
      <c r="D123" s="3"/>
      <c r="E123" s="3"/>
      <c r="F123" s="3"/>
      <c r="G123" s="11"/>
      <c r="H123" s="11"/>
      <c r="I123" s="3"/>
    </row>
    <row r="124" spans="1:9" ht="15">
      <c r="A124" s="3" t="s">
        <v>315</v>
      </c>
      <c r="B124" s="3" t="s">
        <v>29</v>
      </c>
      <c r="C124" s="3" t="s">
        <v>316</v>
      </c>
      <c r="D124" s="3"/>
      <c r="E124" s="3"/>
      <c r="F124" s="3"/>
      <c r="G124" s="11"/>
      <c r="H124" s="11"/>
      <c r="I124" s="3"/>
    </row>
    <row r="125" spans="1:9" ht="15">
      <c r="A125" s="3" t="s">
        <v>317</v>
      </c>
      <c r="B125" s="3" t="s">
        <v>29</v>
      </c>
      <c r="C125" s="3" t="s">
        <v>318</v>
      </c>
      <c r="D125" s="3"/>
      <c r="E125" s="3"/>
      <c r="F125" s="3"/>
      <c r="G125" s="11"/>
      <c r="H125" s="11"/>
      <c r="I125" s="3"/>
    </row>
    <row r="126" spans="1:9" ht="15">
      <c r="A126" s="3" t="s">
        <v>319</v>
      </c>
      <c r="B126" s="3" t="s">
        <v>29</v>
      </c>
      <c r="C126" s="3" t="s">
        <v>320</v>
      </c>
      <c r="D126" s="3"/>
      <c r="E126" s="3"/>
      <c r="F126" s="3"/>
      <c r="G126" s="11"/>
      <c r="H126" s="11"/>
      <c r="I126" s="3"/>
    </row>
    <row r="127" spans="1:9" ht="15">
      <c r="A127" s="3" t="s">
        <v>321</v>
      </c>
      <c r="B127" s="3" t="s">
        <v>29</v>
      </c>
      <c r="C127" s="3" t="s">
        <v>322</v>
      </c>
      <c r="D127" s="3"/>
      <c r="E127" s="3"/>
      <c r="F127" s="3"/>
      <c r="G127" s="11"/>
      <c r="H127" s="11"/>
      <c r="I127" s="3"/>
    </row>
    <row r="128" spans="1:9" ht="15">
      <c r="A128" s="3" t="s">
        <v>323</v>
      </c>
      <c r="B128" s="3" t="s">
        <v>29</v>
      </c>
      <c r="C128" s="3" t="s">
        <v>324</v>
      </c>
      <c r="D128" s="3"/>
      <c r="E128" s="3"/>
      <c r="F128" s="3"/>
      <c r="G128" s="11"/>
      <c r="H128" s="11"/>
      <c r="I128" s="3"/>
    </row>
    <row r="129" spans="1:9" ht="15">
      <c r="A129" s="3" t="s">
        <v>325</v>
      </c>
      <c r="B129" s="3" t="s">
        <v>29</v>
      </c>
      <c r="C129" s="3" t="s">
        <v>326</v>
      </c>
      <c r="D129" s="3"/>
      <c r="E129" s="3"/>
      <c r="F129" s="3"/>
      <c r="G129" s="11"/>
      <c r="H129" s="11"/>
      <c r="I129" s="3"/>
    </row>
    <row r="130" spans="1:9" ht="15">
      <c r="A130" s="3" t="s">
        <v>327</v>
      </c>
      <c r="B130" s="3" t="s">
        <v>29</v>
      </c>
      <c r="C130" s="3" t="s">
        <v>328</v>
      </c>
      <c r="D130" s="3"/>
      <c r="E130" s="3"/>
      <c r="F130" s="3"/>
      <c r="G130" s="11"/>
      <c r="H130" s="11"/>
      <c r="I130" s="3"/>
    </row>
    <row r="131" spans="1:9" ht="15">
      <c r="A131" s="3" t="s">
        <v>329</v>
      </c>
      <c r="B131" s="3" t="s">
        <v>29</v>
      </c>
      <c r="C131" s="3" t="s">
        <v>330</v>
      </c>
      <c r="D131" s="3"/>
      <c r="E131" s="3"/>
      <c r="F131" s="3"/>
      <c r="G131" s="11"/>
      <c r="H131" s="11"/>
      <c r="I131" s="3"/>
    </row>
    <row r="132" spans="1:9" ht="30">
      <c r="A132" s="3" t="s">
        <v>331</v>
      </c>
      <c r="B132" s="3" t="s">
        <v>30</v>
      </c>
      <c r="C132" s="3" t="s">
        <v>333</v>
      </c>
      <c r="D132" s="3"/>
      <c r="E132" s="3"/>
      <c r="F132" s="3"/>
      <c r="G132" s="11"/>
      <c r="H132" s="11"/>
      <c r="I132" s="3"/>
    </row>
    <row r="133" spans="1:9" ht="30">
      <c r="A133" s="3" t="s">
        <v>334</v>
      </c>
      <c r="B133" s="3" t="s">
        <v>30</v>
      </c>
      <c r="C133" s="3" t="s">
        <v>335</v>
      </c>
      <c r="D133" s="3"/>
      <c r="E133" s="3"/>
      <c r="F133" s="3"/>
      <c r="G133" s="11"/>
      <c r="H133" s="11"/>
      <c r="I133" s="3"/>
    </row>
    <row r="134" spans="1:9" ht="30">
      <c r="A134" s="3" t="s">
        <v>336</v>
      </c>
      <c r="B134" s="3" t="s">
        <v>30</v>
      </c>
      <c r="C134" s="3" t="s">
        <v>337</v>
      </c>
      <c r="D134" s="3"/>
      <c r="E134" s="3"/>
      <c r="F134" s="3"/>
      <c r="G134" s="11"/>
      <c r="H134" s="11"/>
      <c r="I134" s="3"/>
    </row>
    <row r="135" spans="1:9" ht="30">
      <c r="A135" s="3" t="s">
        <v>338</v>
      </c>
      <c r="B135" s="3" t="s">
        <v>30</v>
      </c>
      <c r="C135" s="3" t="s">
        <v>339</v>
      </c>
      <c r="D135" s="3"/>
      <c r="E135" s="3"/>
      <c r="F135" s="3"/>
      <c r="G135" s="11"/>
      <c r="H135" s="11"/>
      <c r="I135" s="3"/>
    </row>
    <row r="136" spans="1:9" ht="30">
      <c r="A136" s="3" t="s">
        <v>340</v>
      </c>
      <c r="B136" s="3" t="s">
        <v>30</v>
      </c>
      <c r="C136" s="3" t="s">
        <v>341</v>
      </c>
      <c r="D136" s="3"/>
      <c r="E136" s="3"/>
      <c r="F136" s="3"/>
      <c r="G136" s="11"/>
      <c r="H136" s="11"/>
      <c r="I136" s="3"/>
    </row>
    <row r="137" spans="1:9" ht="30">
      <c r="A137" s="3" t="s">
        <v>342</v>
      </c>
      <c r="B137" s="3" t="s">
        <v>30</v>
      </c>
      <c r="C137" s="3" t="s">
        <v>343</v>
      </c>
      <c r="D137" s="3"/>
      <c r="E137" s="3"/>
      <c r="F137" s="3"/>
      <c r="G137" s="11"/>
      <c r="H137" s="11"/>
      <c r="I137" s="3"/>
    </row>
    <row r="138" spans="1:9" ht="30">
      <c r="A138" s="3" t="s">
        <v>344</v>
      </c>
      <c r="B138" s="3" t="s">
        <v>30</v>
      </c>
      <c r="C138" s="3" t="s">
        <v>345</v>
      </c>
      <c r="D138" s="3"/>
      <c r="E138" s="3"/>
      <c r="F138" s="3"/>
      <c r="G138" s="11"/>
      <c r="H138" s="11"/>
      <c r="I138" s="3"/>
    </row>
    <row r="139" spans="1:9" ht="30">
      <c r="A139" s="3" t="s">
        <v>346</v>
      </c>
      <c r="B139" s="3" t="s">
        <v>30</v>
      </c>
      <c r="C139" s="3" t="s">
        <v>347</v>
      </c>
      <c r="D139" s="3"/>
      <c r="E139" s="3"/>
      <c r="F139" s="3"/>
      <c r="G139" s="11"/>
      <c r="H139" s="11"/>
      <c r="I139" s="3"/>
    </row>
    <row r="140" spans="1:9" ht="30">
      <c r="A140" s="3" t="s">
        <v>348</v>
      </c>
      <c r="B140" s="3" t="s">
        <v>30</v>
      </c>
      <c r="C140" s="3" t="s">
        <v>349</v>
      </c>
      <c r="D140" s="3"/>
      <c r="E140" s="3"/>
      <c r="F140" s="3"/>
      <c r="G140" s="11"/>
      <c r="H140" s="11"/>
      <c r="I140" s="3"/>
    </row>
    <row r="141" spans="1:9" ht="30">
      <c r="A141" s="3" t="s">
        <v>350</v>
      </c>
      <c r="B141" s="3" t="s">
        <v>30</v>
      </c>
      <c r="C141" s="3" t="s">
        <v>351</v>
      </c>
      <c r="D141" s="3"/>
      <c r="E141" s="3"/>
      <c r="F141" s="3"/>
      <c r="G141" s="11"/>
      <c r="H141" s="11"/>
      <c r="I141" s="3"/>
    </row>
    <row r="142" spans="1:9" ht="30">
      <c r="A142" s="3" t="s">
        <v>352</v>
      </c>
      <c r="B142" s="3" t="s">
        <v>30</v>
      </c>
      <c r="C142" s="3" t="s">
        <v>353</v>
      </c>
      <c r="D142" s="3"/>
      <c r="E142" s="3"/>
      <c r="F142" s="3"/>
      <c r="G142" s="11"/>
      <c r="H142" s="11"/>
      <c r="I142" s="3"/>
    </row>
    <row r="143" spans="1:9" ht="15">
      <c r="A143" s="3" t="s">
        <v>354</v>
      </c>
      <c r="B143" s="3" t="s">
        <v>31</v>
      </c>
      <c r="C143" s="3" t="s">
        <v>356</v>
      </c>
      <c r="D143" s="3"/>
      <c r="E143" s="3"/>
      <c r="F143" s="3"/>
      <c r="G143" s="11"/>
      <c r="H143" s="11"/>
      <c r="I143" s="3"/>
    </row>
    <row r="144" spans="1:9" ht="15">
      <c r="A144" s="3" t="s">
        <v>357</v>
      </c>
      <c r="B144" s="3" t="s">
        <v>31</v>
      </c>
      <c r="C144" s="3" t="s">
        <v>358</v>
      </c>
      <c r="D144" s="3"/>
      <c r="E144" s="3"/>
      <c r="F144" s="3"/>
      <c r="G144" s="11"/>
      <c r="H144" s="11"/>
      <c r="I144" s="3"/>
    </row>
    <row r="145" spans="1:9" ht="15">
      <c r="A145" s="3" t="s">
        <v>359</v>
      </c>
      <c r="B145" s="3" t="s">
        <v>31</v>
      </c>
      <c r="C145" s="3" t="s">
        <v>360</v>
      </c>
      <c r="D145" s="3"/>
      <c r="E145" s="3"/>
      <c r="F145" s="3"/>
      <c r="G145" s="11"/>
      <c r="H145" s="11"/>
      <c r="I145" s="3"/>
    </row>
    <row r="146" spans="1:9" ht="15">
      <c r="A146" s="3" t="s">
        <v>361</v>
      </c>
      <c r="B146" s="3" t="s">
        <v>31</v>
      </c>
      <c r="C146" s="3" t="s">
        <v>362</v>
      </c>
      <c r="D146" s="3"/>
      <c r="E146" s="3"/>
      <c r="F146" s="3"/>
      <c r="G146" s="11"/>
      <c r="H146" s="11"/>
      <c r="I146" s="3"/>
    </row>
    <row r="147" spans="1:9" ht="15">
      <c r="A147" s="3" t="s">
        <v>363</v>
      </c>
      <c r="B147" s="3" t="s">
        <v>31</v>
      </c>
      <c r="C147" s="3" t="s">
        <v>364</v>
      </c>
      <c r="D147" s="3"/>
      <c r="E147" s="3"/>
      <c r="F147" s="3"/>
      <c r="G147" s="11"/>
      <c r="H147" s="11"/>
      <c r="I147" s="3"/>
    </row>
    <row r="148" spans="1:9" ht="15">
      <c r="A148" s="3" t="s">
        <v>365</v>
      </c>
      <c r="B148" s="3" t="s">
        <v>31</v>
      </c>
      <c r="C148" s="3" t="s">
        <v>366</v>
      </c>
      <c r="D148" s="3"/>
      <c r="E148" s="3"/>
      <c r="F148" s="3"/>
      <c r="G148" s="11"/>
      <c r="H148" s="11"/>
      <c r="I148" s="3"/>
    </row>
    <row r="149" spans="1:9" ht="15">
      <c r="A149" s="3" t="s">
        <v>367</v>
      </c>
      <c r="B149" s="3" t="s">
        <v>31</v>
      </c>
      <c r="C149" s="3" t="s">
        <v>368</v>
      </c>
      <c r="D149" s="3"/>
      <c r="E149" s="3"/>
      <c r="F149" s="3"/>
      <c r="G149" s="11"/>
      <c r="H149" s="11"/>
      <c r="I149" s="3"/>
    </row>
    <row r="150" spans="1:9" ht="15">
      <c r="A150" s="3" t="s">
        <v>369</v>
      </c>
      <c r="B150" s="3" t="s">
        <v>31</v>
      </c>
      <c r="C150" s="3" t="s">
        <v>370</v>
      </c>
      <c r="D150" s="3"/>
      <c r="E150" s="3"/>
      <c r="F150" s="3"/>
      <c r="G150" s="11"/>
      <c r="H150" s="11"/>
      <c r="I150" s="3"/>
    </row>
    <row r="151" spans="1:9" ht="15">
      <c r="A151" s="3" t="s">
        <v>371</v>
      </c>
      <c r="B151" s="3" t="s">
        <v>31</v>
      </c>
      <c r="C151" s="3" t="s">
        <v>372</v>
      </c>
      <c r="D151" s="3"/>
      <c r="E151" s="3"/>
      <c r="F151" s="3"/>
      <c r="G151" s="11"/>
      <c r="H151" s="11"/>
      <c r="I151" s="3"/>
    </row>
    <row r="152" spans="1:9" ht="15">
      <c r="A152" s="3" t="s">
        <v>373</v>
      </c>
      <c r="B152" s="3" t="s">
        <v>31</v>
      </c>
      <c r="C152" s="3" t="s">
        <v>374</v>
      </c>
      <c r="D152" s="3"/>
      <c r="E152" s="3"/>
      <c r="F152" s="3"/>
      <c r="G152" s="11"/>
      <c r="H152" s="11"/>
      <c r="I152" s="3"/>
    </row>
    <row r="153" spans="1:9" ht="15">
      <c r="A153" s="3" t="s">
        <v>375</v>
      </c>
      <c r="B153" s="3" t="s">
        <v>31</v>
      </c>
      <c r="C153" s="3" t="s">
        <v>376</v>
      </c>
      <c r="D153" s="3"/>
      <c r="E153" s="3"/>
      <c r="F153" s="3"/>
      <c r="G153" s="11"/>
      <c r="H153" s="11"/>
      <c r="I153" s="3"/>
    </row>
    <row r="154" spans="1:9" ht="15">
      <c r="A154" s="3" t="s">
        <v>377</v>
      </c>
      <c r="B154" s="3" t="s">
        <v>31</v>
      </c>
      <c r="C154" s="3" t="s">
        <v>378</v>
      </c>
      <c r="D154" s="3"/>
      <c r="E154" s="3"/>
      <c r="F154" s="3"/>
      <c r="G154" s="11"/>
      <c r="H154" s="11"/>
      <c r="I154" s="3"/>
    </row>
  </sheetData>
  <mergeCells count="1">
    <mergeCell ref="A1:I1"/>
  </mergeCells>
  <conditionalFormatting sqref="F5:F154">
    <cfRule type="expression" dxfId="5" priority="1">
      <formula>F5="Presente"</formula>
    </cfRule>
    <cfRule type="expression" dxfId="4" priority="2">
      <formula>F5="Mancante"</formula>
    </cfRule>
    <cfRule type="expression" dxfId="3" priority="3">
      <formula>F5="Parziale"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Parametri!$E$2:$E$5</xm:f>
          </x14:formula1>
          <xm:sqref>F5:F154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sqref="A1:XFD1048576"/>
    </sheetView>
  </sheetViews>
  <sheetFormatPr baseColWidth="10" defaultColWidth="8.83203125" defaultRowHeight="14"/>
  <cols>
    <col min="1" max="1" width="52" customWidth="1"/>
    <col min="2" max="5" width="22" customWidth="1"/>
    <col min="6" max="6" width="20" customWidth="1"/>
    <col min="7" max="7" width="45" customWidth="1"/>
    <col min="8" max="8" width="15" customWidth="1"/>
    <col min="9" max="9" width="36" customWidth="1"/>
  </cols>
  <sheetData>
    <row r="1" spans="1:9" ht="40" customHeight="1">
      <c r="A1" s="23" t="s">
        <v>395</v>
      </c>
      <c r="B1" s="30"/>
      <c r="C1" s="30"/>
      <c r="D1" s="30"/>
      <c r="E1" s="30"/>
      <c r="F1" s="30"/>
      <c r="G1" s="30"/>
      <c r="H1" s="30"/>
      <c r="I1" s="30"/>
    </row>
    <row r="4" spans="1:9" ht="29.25" customHeight="1">
      <c r="A4" s="1" t="s">
        <v>396</v>
      </c>
      <c r="B4" s="1" t="s">
        <v>397</v>
      </c>
      <c r="C4" s="1" t="s">
        <v>398</v>
      </c>
      <c r="D4" s="1" t="s">
        <v>399</v>
      </c>
      <c r="E4" s="1" t="s">
        <v>400</v>
      </c>
      <c r="F4" s="1" t="s">
        <v>401</v>
      </c>
      <c r="G4" s="1" t="s">
        <v>402</v>
      </c>
      <c r="H4" s="1" t="s">
        <v>403</v>
      </c>
      <c r="I4" s="1" t="s">
        <v>60</v>
      </c>
    </row>
    <row r="5" spans="1:9" ht="15">
      <c r="A5" s="3" t="s">
        <v>18</v>
      </c>
      <c r="B5" s="3"/>
      <c r="C5" s="3"/>
      <c r="D5" s="3"/>
      <c r="E5" s="3"/>
      <c r="F5" s="3" t="s">
        <v>404</v>
      </c>
      <c r="G5" s="3" t="s">
        <v>405</v>
      </c>
      <c r="H5" s="3" t="s">
        <v>406</v>
      </c>
      <c r="I5" s="3" t="s">
        <v>65</v>
      </c>
    </row>
    <row r="6" spans="1:9" ht="15">
      <c r="A6" s="3" t="s">
        <v>19</v>
      </c>
      <c r="B6" s="3"/>
      <c r="C6" s="3"/>
      <c r="D6" s="3"/>
      <c r="E6" s="3"/>
      <c r="F6" s="3" t="s">
        <v>404</v>
      </c>
      <c r="G6" s="3" t="s">
        <v>405</v>
      </c>
      <c r="H6" s="3" t="s">
        <v>406</v>
      </c>
      <c r="I6" s="3" t="s">
        <v>91</v>
      </c>
    </row>
    <row r="7" spans="1:9" ht="15">
      <c r="A7" s="3" t="s">
        <v>20</v>
      </c>
      <c r="B7" s="3"/>
      <c r="C7" s="3"/>
      <c r="D7" s="3"/>
      <c r="E7" s="3"/>
      <c r="F7" s="3" t="s">
        <v>404</v>
      </c>
      <c r="G7" s="3" t="s">
        <v>405</v>
      </c>
      <c r="H7" s="3" t="s">
        <v>406</v>
      </c>
      <c r="I7" s="3" t="s">
        <v>112</v>
      </c>
    </row>
    <row r="8" spans="1:9" ht="15">
      <c r="A8" s="3" t="s">
        <v>21</v>
      </c>
      <c r="B8" s="3"/>
      <c r="C8" s="3"/>
      <c r="D8" s="3"/>
      <c r="E8" s="3"/>
      <c r="F8" s="3" t="s">
        <v>404</v>
      </c>
      <c r="G8" s="3" t="s">
        <v>405</v>
      </c>
      <c r="H8" s="3" t="s">
        <v>406</v>
      </c>
      <c r="I8" s="3" t="s">
        <v>141</v>
      </c>
    </row>
    <row r="9" spans="1:9" ht="15">
      <c r="A9" s="3" t="s">
        <v>22</v>
      </c>
      <c r="B9" s="3"/>
      <c r="C9" s="3"/>
      <c r="D9" s="3"/>
      <c r="E9" s="3"/>
      <c r="F9" s="3" t="s">
        <v>404</v>
      </c>
      <c r="G9" s="3" t="s">
        <v>405</v>
      </c>
      <c r="H9" s="3" t="s">
        <v>406</v>
      </c>
      <c r="I9" s="3" t="s">
        <v>170</v>
      </c>
    </row>
    <row r="10" spans="1:9" ht="15">
      <c r="A10" s="3" t="s">
        <v>23</v>
      </c>
      <c r="B10" s="3"/>
      <c r="C10" s="3"/>
      <c r="D10" s="3"/>
      <c r="E10" s="3"/>
      <c r="F10" s="3" t="s">
        <v>407</v>
      </c>
      <c r="G10" s="3" t="s">
        <v>405</v>
      </c>
      <c r="H10" s="3" t="s">
        <v>408</v>
      </c>
      <c r="I10" s="3" t="s">
        <v>110</v>
      </c>
    </row>
    <row r="11" spans="1:9" ht="15">
      <c r="A11" s="3" t="s">
        <v>24</v>
      </c>
      <c r="B11" s="3"/>
      <c r="C11" s="3"/>
      <c r="D11" s="3"/>
      <c r="E11" s="3"/>
      <c r="F11" s="3" t="s">
        <v>404</v>
      </c>
      <c r="G11" s="3" t="s">
        <v>405</v>
      </c>
      <c r="H11" s="3" t="s">
        <v>408</v>
      </c>
      <c r="I11" s="3" t="s">
        <v>228</v>
      </c>
    </row>
    <row r="12" spans="1:9" ht="15">
      <c r="A12" s="3" t="s">
        <v>25</v>
      </c>
      <c r="B12" s="3"/>
      <c r="C12" s="3"/>
      <c r="D12" s="3"/>
      <c r="E12" s="3"/>
      <c r="F12" s="3" t="s">
        <v>409</v>
      </c>
      <c r="G12" s="3" t="s">
        <v>405</v>
      </c>
      <c r="H12" s="3" t="s">
        <v>406</v>
      </c>
      <c r="I12" s="3" t="s">
        <v>249</v>
      </c>
    </row>
    <row r="13" spans="1:9" ht="15">
      <c r="A13" s="3" t="s">
        <v>26</v>
      </c>
      <c r="B13" s="3"/>
      <c r="C13" s="3"/>
      <c r="D13" s="3"/>
      <c r="E13" s="3"/>
      <c r="F13" s="3" t="s">
        <v>409</v>
      </c>
      <c r="G13" s="3" t="s">
        <v>405</v>
      </c>
      <c r="H13" s="3" t="s">
        <v>406</v>
      </c>
      <c r="I13" s="3" t="s">
        <v>262</v>
      </c>
    </row>
    <row r="14" spans="1:9" ht="15">
      <c r="A14" s="3" t="s">
        <v>27</v>
      </c>
      <c r="B14" s="3"/>
      <c r="C14" s="3"/>
      <c r="D14" s="3"/>
      <c r="E14" s="3"/>
      <c r="F14" s="3" t="s">
        <v>404</v>
      </c>
      <c r="G14" s="3" t="s">
        <v>405</v>
      </c>
      <c r="H14" s="3" t="s">
        <v>408</v>
      </c>
      <c r="I14" s="3" t="s">
        <v>275</v>
      </c>
    </row>
    <row r="15" spans="1:9" ht="15">
      <c r="A15" s="3" t="s">
        <v>28</v>
      </c>
      <c r="B15" s="3"/>
      <c r="C15" s="3"/>
      <c r="D15" s="3"/>
      <c r="E15" s="3"/>
      <c r="F15" s="3" t="s">
        <v>409</v>
      </c>
      <c r="G15" s="3" t="s">
        <v>405</v>
      </c>
      <c r="H15" s="3" t="s">
        <v>408</v>
      </c>
      <c r="I15" s="3" t="s">
        <v>296</v>
      </c>
    </row>
    <row r="16" spans="1:9" ht="15">
      <c r="A16" s="3" t="s">
        <v>29</v>
      </c>
      <c r="B16" s="3"/>
      <c r="C16" s="3"/>
      <c r="D16" s="3"/>
      <c r="E16" s="3"/>
      <c r="F16" s="3" t="s">
        <v>404</v>
      </c>
      <c r="G16" s="3" t="s">
        <v>405</v>
      </c>
      <c r="H16" s="3" t="s">
        <v>406</v>
      </c>
      <c r="I16" s="3" t="s">
        <v>311</v>
      </c>
    </row>
    <row r="17" spans="1:9" ht="30">
      <c r="A17" s="3" t="s">
        <v>30</v>
      </c>
      <c r="B17" s="3"/>
      <c r="C17" s="3"/>
      <c r="D17" s="3"/>
      <c r="E17" s="3"/>
      <c r="F17" s="3" t="s">
        <v>407</v>
      </c>
      <c r="G17" s="3" t="s">
        <v>405</v>
      </c>
      <c r="H17" s="3" t="s">
        <v>408</v>
      </c>
      <c r="I17" s="3" t="s">
        <v>332</v>
      </c>
    </row>
    <row r="18" spans="1:9" ht="15">
      <c r="A18" s="3" t="s">
        <v>31</v>
      </c>
      <c r="B18" s="3"/>
      <c r="C18" s="3"/>
      <c r="D18" s="3"/>
      <c r="E18" s="3"/>
      <c r="F18" s="3" t="s">
        <v>407</v>
      </c>
      <c r="G18" s="3" t="s">
        <v>405</v>
      </c>
      <c r="H18" s="3" t="s">
        <v>408</v>
      </c>
      <c r="I18" s="3" t="s">
        <v>355</v>
      </c>
    </row>
  </sheetData>
  <mergeCells count="1">
    <mergeCell ref="A1:I1"/>
  </mergeCells>
  <conditionalFormatting sqref="H5:H18">
    <cfRule type="expression" dxfId="2" priority="1">
      <formula>H5="Critico"</formula>
    </cfRule>
    <cfRule type="expression" dxfId="1" priority="2">
      <formula>H5="Alto"</formula>
    </cfRule>
    <cfRule type="expression" dxfId="0" priority="3">
      <formula>H5="Medio"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Parametri!$F$2:$F$5</xm:f>
          </x14:formula1>
          <xm:sqref>H5:H18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sqref="A1:XFD1048576"/>
    </sheetView>
  </sheetViews>
  <sheetFormatPr baseColWidth="10" defaultColWidth="8.83203125" defaultRowHeight="14"/>
  <cols>
    <col min="1" max="3" width="28" customWidth="1"/>
    <col min="4" max="4" width="52" customWidth="1"/>
    <col min="5" max="6" width="28" customWidth="1"/>
  </cols>
  <sheetData>
    <row r="1" spans="1:6" ht="29.25" customHeight="1">
      <c r="A1" s="1" t="s">
        <v>410</v>
      </c>
      <c r="B1" s="1" t="s">
        <v>411</v>
      </c>
      <c r="C1" s="1" t="s">
        <v>56</v>
      </c>
      <c r="D1" s="1" t="s">
        <v>412</v>
      </c>
      <c r="E1" s="1" t="s">
        <v>413</v>
      </c>
      <c r="F1" s="1" t="s">
        <v>403</v>
      </c>
    </row>
    <row r="2" spans="1:6">
      <c r="A2" t="s">
        <v>3</v>
      </c>
      <c r="B2" t="s">
        <v>38</v>
      </c>
      <c r="C2" t="s">
        <v>414</v>
      </c>
      <c r="D2" t="s">
        <v>18</v>
      </c>
      <c r="E2" t="s">
        <v>415</v>
      </c>
      <c r="F2" t="s">
        <v>416</v>
      </c>
    </row>
    <row r="3" spans="1:6">
      <c r="A3" t="s">
        <v>4</v>
      </c>
      <c r="B3" t="s">
        <v>36</v>
      </c>
      <c r="C3" t="s">
        <v>188</v>
      </c>
      <c r="D3" t="s">
        <v>19</v>
      </c>
      <c r="E3" t="s">
        <v>417</v>
      </c>
      <c r="F3" t="s">
        <v>406</v>
      </c>
    </row>
    <row r="4" spans="1:6">
      <c r="A4" t="s">
        <v>12</v>
      </c>
      <c r="B4" t="s">
        <v>34</v>
      </c>
      <c r="C4" t="s">
        <v>67</v>
      </c>
      <c r="D4" t="s">
        <v>20</v>
      </c>
      <c r="E4" t="s">
        <v>418</v>
      </c>
      <c r="F4" t="s">
        <v>408</v>
      </c>
    </row>
    <row r="5" spans="1:6">
      <c r="B5" t="s">
        <v>40</v>
      </c>
      <c r="C5" t="s">
        <v>419</v>
      </c>
      <c r="D5" t="s">
        <v>21</v>
      </c>
      <c r="E5" t="s">
        <v>12</v>
      </c>
      <c r="F5" t="s">
        <v>420</v>
      </c>
    </row>
    <row r="6" spans="1:6">
      <c r="D6" t="s">
        <v>22</v>
      </c>
    </row>
    <row r="7" spans="1:6">
      <c r="D7" t="s">
        <v>23</v>
      </c>
    </row>
    <row r="8" spans="1:6">
      <c r="D8" t="s">
        <v>24</v>
      </c>
    </row>
    <row r="9" spans="1:6">
      <c r="D9" t="s">
        <v>25</v>
      </c>
    </row>
    <row r="10" spans="1:6">
      <c r="D10" t="s">
        <v>26</v>
      </c>
    </row>
    <row r="11" spans="1:6">
      <c r="D11" t="s">
        <v>27</v>
      </c>
    </row>
    <row r="12" spans="1:6">
      <c r="D12" t="s">
        <v>28</v>
      </c>
    </row>
    <row r="13" spans="1:6">
      <c r="D13" t="s">
        <v>29</v>
      </c>
    </row>
    <row r="14" spans="1:6">
      <c r="D14" t="s">
        <v>30</v>
      </c>
    </row>
    <row r="15" spans="1:6">
      <c r="D1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tabSelected="1" workbookViewId="0">
      <selection sqref="A1:XFD1048576"/>
    </sheetView>
  </sheetViews>
  <sheetFormatPr baseColWidth="10" defaultColWidth="8.83203125" defaultRowHeight="14"/>
  <cols>
    <col min="1" max="1" width="28" customWidth="1"/>
    <col min="2" max="2" width="95" customWidth="1"/>
  </cols>
  <sheetData>
    <row r="1" spans="1:8" ht="40" customHeight="1">
      <c r="A1" s="23" t="s">
        <v>421</v>
      </c>
      <c r="B1" s="30"/>
      <c r="C1" s="30"/>
      <c r="D1" s="30"/>
      <c r="E1" s="30"/>
      <c r="F1" s="30"/>
      <c r="G1" s="30"/>
      <c r="H1" s="30"/>
    </row>
    <row r="3" spans="1:8" ht="29.25" customHeight="1">
      <c r="A3" s="4" t="s">
        <v>51</v>
      </c>
      <c r="B3" s="4" t="s">
        <v>422</v>
      </c>
    </row>
    <row r="4" spans="1:8" ht="30">
      <c r="A4" s="5" t="s">
        <v>423</v>
      </c>
      <c r="B4" s="6" t="s">
        <v>424</v>
      </c>
    </row>
    <row r="5" spans="1:8" ht="30">
      <c r="A5" s="5" t="s">
        <v>425</v>
      </c>
      <c r="B5" s="6" t="s">
        <v>426</v>
      </c>
    </row>
    <row r="6" spans="1:8" ht="30">
      <c r="A6" s="5" t="s">
        <v>427</v>
      </c>
      <c r="B6" s="6" t="s">
        <v>428</v>
      </c>
    </row>
    <row r="7" spans="1:8" ht="15">
      <c r="A7" s="5" t="s">
        <v>429</v>
      </c>
      <c r="B7" s="6" t="s">
        <v>430</v>
      </c>
    </row>
    <row r="8" spans="1:8" ht="15">
      <c r="A8" s="5" t="s">
        <v>431</v>
      </c>
      <c r="B8" s="6" t="s">
        <v>432</v>
      </c>
    </row>
    <row r="9" spans="1:8" ht="15">
      <c r="A9" s="5" t="s">
        <v>433</v>
      </c>
      <c r="B9" s="6" t="s">
        <v>434</v>
      </c>
    </row>
    <row r="10" spans="1:8" ht="15">
      <c r="A10" s="5" t="s">
        <v>435</v>
      </c>
      <c r="B10" s="6" t="s">
        <v>436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Dashboard</vt:lpstr>
      <vt:lpstr>Checklist_GDPR</vt:lpstr>
      <vt:lpstr>Azioni</vt:lpstr>
      <vt:lpstr>Registro_Evidenze</vt:lpstr>
      <vt:lpstr>Governance_RACI</vt:lpstr>
      <vt:lpstr>Parametri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Deriu</cp:lastModifiedBy>
  <dcterms:modified xsi:type="dcterms:W3CDTF">2026-05-08T19:53:33Z</dcterms:modified>
</cp:coreProperties>
</file>